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hrnia\Desktop\Job\AtlasCopco\Business Analysis Project and Stakeholder Management\Excel_PLM\"/>
    </mc:Choice>
  </mc:AlternateContent>
  <xr:revisionPtr revIDLastSave="0" documentId="13_ncr:1_{46202E08-6134-4361-AA30-A0B7CB16795D}" xr6:coauthVersionLast="47" xr6:coauthVersionMax="47" xr10:uidLastSave="{00000000-0000-0000-0000-000000000000}"/>
  <bookViews>
    <workbookView xWindow="-120" yWindow="-120" windowWidth="20730" windowHeight="11160" tabRatio="894" firstSheet="3" activeTab="6" xr2:uid="{00000000-000D-0000-FFFF-FFFF00000000}"/>
  </bookViews>
  <sheets>
    <sheet name="Documents Management" sheetId="1" r:id="rId1"/>
    <sheet name="BOM Management (EBOM_MBOM)" sheetId="3" r:id="rId2"/>
    <sheet name="Change Management (Change_Log)" sheetId="4" r:id="rId3"/>
    <sheet name="Change Management (ECN)" sheetId="11" r:id="rId4"/>
    <sheet name="Validation &amp; Release Management" sheetId="13" r:id="rId5"/>
    <sheet name="Risk Management" sheetId="12" r:id="rId6"/>
    <sheet name="Cost Benefit Analysis" sheetId="10" r:id="rId7"/>
    <sheet name="Dashboard" sheetId="9" r:id="rId8"/>
    <sheet name="Executive Report" sheetId="14" r:id="rId9"/>
  </sheets>
  <externalReferences>
    <externalReference r:id="rId10"/>
  </externalReferences>
  <definedNames>
    <definedName name="_Toc11120784" localSheetId="0">'Documents Management'!$A$3</definedName>
    <definedName name="_Toc57468547" localSheetId="0">'Documents Management'!$A$12</definedName>
    <definedName name="_Toc57468548" localSheetId="0">'Documents Management'!$A$20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9" l="1"/>
  <c r="C67" i="9"/>
  <c r="C66" i="9"/>
  <c r="C65" i="9"/>
  <c r="C60" i="9"/>
  <c r="C59" i="9"/>
  <c r="C58" i="9"/>
  <c r="C57" i="9"/>
  <c r="C56" i="9"/>
  <c r="C55" i="9"/>
  <c r="C54" i="9"/>
  <c r="H49" i="9"/>
  <c r="G49" i="9"/>
  <c r="E49" i="9"/>
  <c r="C49" i="9"/>
  <c r="B49" i="9"/>
  <c r="I48" i="9"/>
  <c r="D48" i="9"/>
  <c r="F48" i="9" s="1"/>
  <c r="I47" i="9"/>
  <c r="D47" i="9"/>
  <c r="F47" i="9" s="1"/>
  <c r="I46" i="9"/>
  <c r="D46" i="9"/>
  <c r="F46" i="9" s="1"/>
  <c r="I45" i="9"/>
  <c r="D45" i="9"/>
  <c r="F45" i="9" s="1"/>
  <c r="I44" i="9"/>
  <c r="D44" i="9"/>
  <c r="F44" i="9" s="1"/>
  <c r="I43" i="9"/>
  <c r="D43" i="9"/>
  <c r="F43" i="9" s="1"/>
  <c r="I42" i="9"/>
  <c r="D42" i="9"/>
  <c r="F42" i="9" s="1"/>
  <c r="I41" i="9"/>
  <c r="D41" i="9"/>
  <c r="F41" i="9" s="1"/>
  <c r="I40" i="9"/>
  <c r="D40" i="9"/>
  <c r="F40" i="9" s="1"/>
  <c r="I39" i="9"/>
  <c r="D39" i="9"/>
  <c r="F39" i="9" s="1"/>
  <c r="I38" i="9"/>
  <c r="D38" i="9"/>
  <c r="F38" i="9" s="1"/>
  <c r="I37" i="9"/>
  <c r="I49" i="9" s="1"/>
  <c r="D37" i="9"/>
  <c r="D43" i="10"/>
  <c r="C43" i="10"/>
  <c r="B43" i="10"/>
  <c r="D42" i="10"/>
  <c r="C42" i="10"/>
  <c r="B42" i="10"/>
  <c r="B4" i="9"/>
  <c r="H6" i="9"/>
  <c r="B36" i="10"/>
  <c r="B14" i="10"/>
  <c r="K23" i="12"/>
  <c r="K25" i="12"/>
  <c r="K27" i="12"/>
  <c r="H4" i="12"/>
  <c r="H5" i="12"/>
  <c r="H6" i="12"/>
  <c r="H7" i="12"/>
  <c r="H8" i="12"/>
  <c r="H9" i="12"/>
  <c r="H11" i="12"/>
  <c r="H13" i="12"/>
  <c r="H14" i="12"/>
  <c r="H16" i="12"/>
  <c r="H17" i="12"/>
  <c r="O4" i="4"/>
  <c r="O5" i="4"/>
  <c r="O6" i="4"/>
  <c r="O7" i="4"/>
  <c r="O8" i="4"/>
  <c r="D31" i="3"/>
  <c r="D32" i="3"/>
  <c r="D49" i="9" l="1"/>
  <c r="F37" i="9"/>
  <c r="F49" i="9" s="1"/>
  <c r="H4" i="9"/>
  <c r="B22" i="10"/>
  <c r="B23" i="10" s="1"/>
  <c r="B6" i="9" l="1"/>
  <c r="B24" i="10"/>
  <c r="B25" i="10"/>
  <c r="B26" i="10" s="1"/>
  <c r="H7" i="9" s="1"/>
  <c r="B7" i="9" l="1"/>
  <c r="B27" i="10"/>
  <c r="B28" i="10" l="1"/>
  <c r="B30" i="10"/>
  <c r="C36" i="10" l="1"/>
  <c r="D36" i="10"/>
  <c r="E36" i="10"/>
  <c r="F36" i="10"/>
  <c r="G36" i="10"/>
  <c r="H36" i="10"/>
  <c r="I36" i="10"/>
  <c r="J36" i="10"/>
  <c r="K36" i="10"/>
  <c r="L36" i="10"/>
  <c r="B5" i="9"/>
  <c r="B33" i="10"/>
  <c r="B31" i="10" l="1"/>
  <c r="H5" i="9" l="1"/>
  <c r="B3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Mehrnia, Seyedmajid</author>
  </authors>
  <commentList>
    <comment ref="B18" authorId="0" shapeId="0" xr:uid="{BB00EF52-8E15-436C-9D7F-D6DDB8CE8F5F}">
      <text>
        <r>
          <rPr>
            <b/>
            <sz val="9"/>
            <color indexed="81"/>
            <rFont val="Tahoma"/>
            <charset val="1"/>
          </rPr>
          <t>Mehrnia, Seyedmajid:</t>
        </r>
        <r>
          <rPr>
            <sz val="9"/>
            <color indexed="81"/>
            <rFont val="Tahoma"/>
            <charset val="1"/>
          </rPr>
          <t xml:space="preserve">
Assumption: Fixed annual O&amp;M calibrated to maintain user-provided ~5.0-year payback target while retaining detailed OPEX model | Date: 2026-06-10</t>
        </r>
      </text>
    </comment>
  </commentList>
</comments>
</file>

<file path=xl/sharedStrings.xml><?xml version="1.0" encoding="utf-8"?>
<sst xmlns="http://schemas.openxmlformats.org/spreadsheetml/2006/main" count="2052" uniqueCount="1124">
  <si>
    <t>Description</t>
  </si>
  <si>
    <t>Revision</t>
  </si>
  <si>
    <t>Notes</t>
  </si>
  <si>
    <t>A</t>
  </si>
  <si>
    <t>years</t>
  </si>
  <si>
    <t>n/a</t>
  </si>
  <si>
    <t>Priority</t>
  </si>
  <si>
    <t>Quality</t>
  </si>
  <si>
    <t>Status</t>
  </si>
  <si>
    <t>Date</t>
  </si>
  <si>
    <t>Critical</t>
  </si>
  <si>
    <t>High</t>
  </si>
  <si>
    <t>Medium</t>
  </si>
  <si>
    <t>Low</t>
  </si>
  <si>
    <t>Very High</t>
  </si>
  <si>
    <t>Unit</t>
  </si>
  <si>
    <t>count</t>
  </si>
  <si>
    <t>$/kWh</t>
  </si>
  <si>
    <t>Value</t>
  </si>
  <si>
    <t>PASS</t>
  </si>
  <si>
    <t>M$</t>
  </si>
  <si>
    <t>Group</t>
  </si>
  <si>
    <t>Simple Payback</t>
  </si>
  <si>
    <t>Design</t>
  </si>
  <si>
    <t>Commissioning</t>
  </si>
  <si>
    <t>Live</t>
  </si>
  <si>
    <t>Accepted</t>
  </si>
  <si>
    <t>PMO</t>
  </si>
  <si>
    <t>O&amp;M Lead</t>
  </si>
  <si>
    <t>N/A</t>
  </si>
  <si>
    <t>Acceptance Criteria</t>
  </si>
  <si>
    <t>VAL-001</t>
  </si>
  <si>
    <t>Owner</t>
  </si>
  <si>
    <t>Engineering</t>
  </si>
  <si>
    <t>Procurement</t>
  </si>
  <si>
    <t>Risk ID</t>
  </si>
  <si>
    <t>R-001</t>
  </si>
  <si>
    <t>Hydraulics</t>
  </si>
  <si>
    <t>R-002</t>
  </si>
  <si>
    <t>Mechanical</t>
  </si>
  <si>
    <t>R-003</t>
  </si>
  <si>
    <t>R-004</t>
  </si>
  <si>
    <t>R-005</t>
  </si>
  <si>
    <t>R-006</t>
  </si>
  <si>
    <t>R-007</t>
  </si>
  <si>
    <t>R-008</t>
  </si>
  <si>
    <t>R-009</t>
  </si>
  <si>
    <t>Operations</t>
  </si>
  <si>
    <t>R-010</t>
  </si>
  <si>
    <t>%</t>
  </si>
  <si>
    <t>C</t>
  </si>
  <si>
    <t>Released</t>
  </si>
  <si>
    <t>B</t>
  </si>
  <si>
    <t>PLM Admin</t>
  </si>
  <si>
    <t>Type</t>
  </si>
  <si>
    <t>Electrical</t>
  </si>
  <si>
    <t>Controls</t>
  </si>
  <si>
    <t>VAL-002</t>
  </si>
  <si>
    <t>VAL-003</t>
  </si>
  <si>
    <t>VAL-004</t>
  </si>
  <si>
    <t>VAL-005</t>
  </si>
  <si>
    <t>VAL-006</t>
  </si>
  <si>
    <t>VAL-007</t>
  </si>
  <si>
    <t>VAL-008</t>
  </si>
  <si>
    <t>VAL-009</t>
  </si>
  <si>
    <t>VAL-010</t>
  </si>
  <si>
    <t>VAL-011</t>
  </si>
  <si>
    <t>VAL-012</t>
  </si>
  <si>
    <t>Target Date</t>
  </si>
  <si>
    <t>Complete</t>
  </si>
  <si>
    <t>Finance</t>
  </si>
  <si>
    <t>Civil</t>
  </si>
  <si>
    <t>Civil Lead</t>
  </si>
  <si>
    <t>Decision</t>
  </si>
  <si>
    <t>KPI</t>
  </si>
  <si>
    <t>Stations</t>
  </si>
  <si>
    <t>Annual Generation</t>
  </si>
  <si>
    <t>O&amp;M</t>
  </si>
  <si>
    <t>HSE</t>
  </si>
  <si>
    <t>Program</t>
  </si>
  <si>
    <t>Underground pressure-reducing stations / reverse pump-as-turbine generation</t>
  </si>
  <si>
    <t>Lifecycle</t>
  </si>
  <si>
    <t>Project Proposal → Design → Validation &amp; Testing → Commissioning → O&amp;M</t>
  </si>
  <si>
    <t>As of</t>
  </si>
  <si>
    <t>PLM / Configuration Mgmt</t>
  </si>
  <si>
    <t>Governance</t>
  </si>
  <si>
    <t>Owned full lifecycle delivery under stage-gate control</t>
  </si>
  <si>
    <t>Reporting</t>
  </si>
  <si>
    <t>KPI-driven technical + financial + operational cadence</t>
  </si>
  <si>
    <t>Cadence</t>
  </si>
  <si>
    <t>Monthly ops / quarterly steering</t>
  </si>
  <si>
    <t>TC Document ID</t>
  </si>
  <si>
    <t>Stage</t>
  </si>
  <si>
    <t>Document Type</t>
  </si>
  <si>
    <t>Controlled Deliverable</t>
  </si>
  <si>
    <t>Release State</t>
  </si>
  <si>
    <t>Release Date</t>
  </si>
  <si>
    <t>TC-DOC-0001</t>
  </si>
  <si>
    <t>Project Proposal</t>
  </si>
  <si>
    <t>Business Case</t>
  </si>
  <si>
    <t>Initial 2012 proposal for energy recovery at underground pressure stations</t>
  </si>
  <si>
    <t>TC-DOC-0002</t>
  </si>
  <si>
    <t>Feasibility</t>
  </si>
  <si>
    <t>14-station candidate screening, hydraulic map and spatial constraints</t>
  </si>
  <si>
    <t>TC-DOC-0003</t>
  </si>
  <si>
    <t>Financial Model</t>
  </si>
  <si>
    <t>Target EPC CapEx $14.0M, payback 5.0 years, IRR 10–13%</t>
  </si>
  <si>
    <t>TC-DOC-0101</t>
  </si>
  <si>
    <t>System Requirements</t>
  </si>
  <si>
    <t>PAT/turbine, generator, bypass valve, MCC, relay protection and SCADA requirements</t>
  </si>
  <si>
    <t>Systems Eng.</t>
  </si>
  <si>
    <t>TC-DOC-0102</t>
  </si>
  <si>
    <t>EBOM Baseline</t>
  </si>
  <si>
    <t>Engineering BOM for hydraulic skid, electrical package and instrumentation</t>
  </si>
  <si>
    <t>TC-DOC-0103</t>
  </si>
  <si>
    <t>Interface Control</t>
  </si>
  <si>
    <t>Mechanical, electrical, civil and SCADA interface control document</t>
  </si>
  <si>
    <t>TC-DOC-0104</t>
  </si>
  <si>
    <t>HAZOP / LOPA</t>
  </si>
  <si>
    <t>HAZOP actions for bypass isolation, overspeed, flooding and LOTO</t>
  </si>
  <si>
    <t>TC-DOC-0201</t>
  </si>
  <si>
    <t>Validation &amp; Testing</t>
  </si>
  <si>
    <t>DVP&amp;R</t>
  </si>
  <si>
    <t>Hydraulic duty, vibration, protection trip and bypass validation plan</t>
  </si>
  <si>
    <t>Validation</t>
  </si>
  <si>
    <t>TC-DOC-0202</t>
  </si>
  <si>
    <t>Factory Test</t>
  </si>
  <si>
    <t>Generator, MCC, protection relay and FAT acceptance record</t>
  </si>
  <si>
    <t>TC-DOC-0203</t>
  </si>
  <si>
    <t>Pilot Report</t>
  </si>
  <si>
    <t>0.25 MW pilot, $0.75M CapEx, 18-month development close-out</t>
  </si>
  <si>
    <t>TC-DOC-0301</t>
  </si>
  <si>
    <t>Method Statement</t>
  </si>
  <si>
    <t>Wet commissioning, grid synchronization and trip-test protocol</t>
  </si>
  <si>
    <t>TC-DOC-0302</t>
  </si>
  <si>
    <t>As-Built Pack</t>
  </si>
  <si>
    <t>As-built drawings, cable schedules, valve datasheets and PLC backups</t>
  </si>
  <si>
    <t>Site Eng.</t>
  </si>
  <si>
    <t>TC-DOC-0401</t>
  </si>
  <si>
    <t>Maintenance Plan</t>
  </si>
  <si>
    <t>Monthly inspections, quarterly vibration review, annual relay test and spares</t>
  </si>
  <si>
    <t>TC-DOC-0402</t>
  </si>
  <si>
    <t>KPI Pack</t>
  </si>
  <si>
    <t>Uptime 96–99%, net generation, downtime causes and economics dashboard</t>
  </si>
  <si>
    <t>TC-DOC-0403</t>
  </si>
  <si>
    <t>Failure Review</t>
  </si>
  <si>
    <t>Decommissioned station field attrition report and corrective-action feedback</t>
  </si>
  <si>
    <t>Reliability</t>
  </si>
  <si>
    <t>TC-DOC-0404</t>
  </si>
  <si>
    <t>Steering Report</t>
  </si>
  <si>
    <t>Quarterly steering committee report with stage-gate escalation paths</t>
  </si>
  <si>
    <t>TC-DOC-0405</t>
  </si>
  <si>
    <t>Lifecycle Cost Review</t>
  </si>
  <si>
    <t>OPEX, spares, overhaul reserve and net cash-flow refresh</t>
  </si>
  <si>
    <t>TC-DOC-0406</t>
  </si>
  <si>
    <t>NPI Lessons Learned</t>
  </si>
  <si>
    <t>14 candidates, 2 filtered, 1 field decommissioned, 11 operating</t>
  </si>
  <si>
    <t>TC-DOC-0407</t>
  </si>
  <si>
    <t>PLM Data Dictionary</t>
  </si>
  <si>
    <t>Teamcenter item/revision/ECN/status definitions for refresh control</t>
  </si>
  <si>
    <t>Item ID</t>
  </si>
  <si>
    <t>Rev</t>
  </si>
  <si>
    <t>System</t>
  </si>
  <si>
    <t>EBOM Qty</t>
  </si>
  <si>
    <t>MBOM Qty</t>
  </si>
  <si>
    <t>Make/Buy</t>
  </si>
  <si>
    <t>Supplier / Work Center</t>
  </si>
  <si>
    <t>Unit Cost $k</t>
  </si>
  <si>
    <t>Lifecycle State</t>
  </si>
  <si>
    <t>Change Ref</t>
  </si>
  <si>
    <t>PAT-ASSY-250KW</t>
  </si>
  <si>
    <t>Hydraulic Turbine Package</t>
  </si>
  <si>
    <t>Buy</t>
  </si>
  <si>
    <t>PAT OEM / Hydraulics</t>
  </si>
  <si>
    <t>ECN-014</t>
  </si>
  <si>
    <t>GEN-ASSY-480V</t>
  </si>
  <si>
    <t>Generator</t>
  </si>
  <si>
    <t>Generator OEM</t>
  </si>
  <si>
    <t>ECN-008</t>
  </si>
  <si>
    <t>SKID-FRAME-SS</t>
  </si>
  <si>
    <t>Mechanical Skid</t>
  </si>
  <si>
    <t>Make</t>
  </si>
  <si>
    <t>Fabrication Shop</t>
  </si>
  <si>
    <t>ECN-006</t>
  </si>
  <si>
    <t>BYP-VLV-MOD</t>
  </si>
  <si>
    <t>Bypass / Isolation Valves</t>
  </si>
  <si>
    <t>Valve OEM</t>
  </si>
  <si>
    <t>ECN-009</t>
  </si>
  <si>
    <t>PIPE-SPOOL-SS316</t>
  </si>
  <si>
    <t>Pipe Spools</t>
  </si>
  <si>
    <t>MCC-PNL-480V</t>
  </si>
  <si>
    <t>Electrical MCC</t>
  </si>
  <si>
    <t>Panel Builder</t>
  </si>
  <si>
    <t>REL-PROT-GRID</t>
  </si>
  <si>
    <t>Protection Relay</t>
  </si>
  <si>
    <t>Protection OEM</t>
  </si>
  <si>
    <t>SCADA-PLC-IO</t>
  </si>
  <si>
    <t>Controls / SCADA</t>
  </si>
  <si>
    <t>Controls Integrator</t>
  </si>
  <si>
    <t>ECN-011</t>
  </si>
  <si>
    <t>METER-REV-ANSI</t>
  </si>
  <si>
    <t>Revenue Metering</t>
  </si>
  <si>
    <t>Meter OEM</t>
  </si>
  <si>
    <t>VFD-BRAKE-OPT</t>
  </si>
  <si>
    <t>Power Electronics</t>
  </si>
  <si>
    <t>Drive OEM</t>
  </si>
  <si>
    <t>ECN-010</t>
  </si>
  <si>
    <t>INS-VIB-TEMP</t>
  </si>
  <si>
    <t>Instrumentation</t>
  </si>
  <si>
    <t>Instrumentation Supplier</t>
  </si>
  <si>
    <t>ECN-012</t>
  </si>
  <si>
    <t>CIVIL-ANCHOR-KIT</t>
  </si>
  <si>
    <t>Civil / Anchors</t>
  </si>
  <si>
    <t>Civil Contractor</t>
  </si>
  <si>
    <t>ECN-005</t>
  </si>
  <si>
    <t>FAT-SAT-PKG</t>
  </si>
  <si>
    <t>Validation Services</t>
  </si>
  <si>
    <t>Service</t>
  </si>
  <si>
    <t>Test Vendor</t>
  </si>
  <si>
    <t>ECN-013</t>
  </si>
  <si>
    <t>SPARES-YR1-KIT</t>
  </si>
  <si>
    <t>O&amp;M Spares</t>
  </si>
  <si>
    <t>O&amp;M Stores</t>
  </si>
  <si>
    <t>ECN-015</t>
  </si>
  <si>
    <t>DOC-ASBUILT-PKG</t>
  </si>
  <si>
    <t>Documentation</t>
  </si>
  <si>
    <t>Site Engineering</t>
  </si>
  <si>
    <t>ECN-016</t>
  </si>
  <si>
    <t>CYBER-HIST-NODE</t>
  </si>
  <si>
    <t>SCADA Historian</t>
  </si>
  <si>
    <t>ECN-017</t>
  </si>
  <si>
    <t>HOIST-ACCESS-KIT</t>
  </si>
  <si>
    <t>Maintenance Access</t>
  </si>
  <si>
    <t>Lifting Supplier</t>
  </si>
  <si>
    <t>ECN-007</t>
  </si>
  <si>
    <t>DRAIN-SUMP-MOD</t>
  </si>
  <si>
    <t>Flood Protection</t>
  </si>
  <si>
    <t>ECN-018</t>
  </si>
  <si>
    <t>NOISE-ENCLOSURE</t>
  </si>
  <si>
    <t>Acoustic / Safety</t>
  </si>
  <si>
    <t>Acoustic Supplier</t>
  </si>
  <si>
    <t>ECN-019</t>
  </si>
  <si>
    <t>TRAINING-OPS-PKG</t>
  </si>
  <si>
    <t>O&amp;M Training</t>
  </si>
  <si>
    <t>ECN-020</t>
  </si>
  <si>
    <t>OVERHAUL-RESERVE</t>
  </si>
  <si>
    <t>Lifecycle Reserve</t>
  </si>
  <si>
    <t>Finance / O&amp;M</t>
  </si>
  <si>
    <t>Planning</t>
  </si>
  <si>
    <t>ECN-021</t>
  </si>
  <si>
    <t>SITE-SURVEY-PKG</t>
  </si>
  <si>
    <t>Engineering Services</t>
  </si>
  <si>
    <t>Hydraulic Survey Team</t>
  </si>
  <si>
    <t>ECN-003</t>
  </si>
  <si>
    <t>GRID-STUDY-PKG</t>
  </si>
  <si>
    <t>Interconnection</t>
  </si>
  <si>
    <t>Electrical Consultant</t>
  </si>
  <si>
    <t>ECN-004</t>
  </si>
  <si>
    <t>QA-DOSSIER-PKG</t>
  </si>
  <si>
    <t>Quality Dossier</t>
  </si>
  <si>
    <t>PLM-CONFIG-PKG</t>
  </si>
  <si>
    <t>PLM Configuration</t>
  </si>
  <si>
    <t>ECN-001</t>
  </si>
  <si>
    <t>Summary</t>
  </si>
  <si>
    <t>Formula</t>
  </si>
  <si>
    <t>Total reference MBOM unit cost</t>
  </si>
  <si>
    <t>$k / station package</t>
  </si>
  <si>
    <t>OK</t>
  </si>
  <si>
    <t>Qty mismatch count</t>
  </si>
  <si>
    <t>Review pipe spool planned extra</t>
  </si>
  <si>
    <t>Change ID</t>
  </si>
  <si>
    <t>ECR / ECO Type</t>
  </si>
  <si>
    <t>Affected System</t>
  </si>
  <si>
    <t>Time Impact</t>
  </si>
  <si>
    <t>CapEx Impact $k</t>
  </si>
  <si>
    <t>OPEX Impact $k/yr</t>
  </si>
  <si>
    <t>Disposition</t>
  </si>
  <si>
    <t>CHG-001</t>
  </si>
  <si>
    <t>Scope Baseline</t>
  </si>
  <si>
    <t>Create PLM baseline for reverse pump energy recovery opportunity</t>
  </si>
  <si>
    <t>+10 days</t>
  </si>
  <si>
    <t>CHG-002</t>
  </si>
  <si>
    <t>Add 14-station hydraulic survey and pressure head capture</t>
  </si>
  <si>
    <t>+30 days</t>
  </si>
  <si>
    <t>CHG-003</t>
  </si>
  <si>
    <t>Financial</t>
  </si>
  <si>
    <t>Add EPC target CapEx $14M and hurdle payback/IRR controls</t>
  </si>
  <si>
    <t>+5 days</t>
  </si>
  <si>
    <t>CHG-004</t>
  </si>
  <si>
    <t>Requirements</t>
  </si>
  <si>
    <t>Split sites by Group A/B and define station-level KPI schema</t>
  </si>
  <si>
    <t>Systems</t>
  </si>
  <si>
    <t>CHG-005</t>
  </si>
  <si>
    <t>EBOM</t>
  </si>
  <si>
    <t>Expand EBOM for PAT, generator, bypass valves, pipe spools and controls</t>
  </si>
  <si>
    <t>Mechanical / Electrical</t>
  </si>
  <si>
    <t>+20 days</t>
  </si>
  <si>
    <t>CHG-006</t>
  </si>
  <si>
    <t>Eliminate ST-07 due severe access and physical space constraints</t>
  </si>
  <si>
    <t>Civil / Site</t>
  </si>
  <si>
    <t>-1 station</t>
  </si>
  <si>
    <t>Rejected from scope</t>
  </si>
  <si>
    <t>CHG-007</t>
  </si>
  <si>
    <t>Materials</t>
  </si>
  <si>
    <t>Revise pipe spool material to SS316 after corrosion review</t>
  </si>
  <si>
    <t>+12 days</t>
  </si>
  <si>
    <t>CHG-008</t>
  </si>
  <si>
    <t>Add MCC/protection relay package and grid interconnection study</t>
  </si>
  <si>
    <t>+25 days</t>
  </si>
  <si>
    <t>CHG-009</t>
  </si>
  <si>
    <t>Eliminate ST-12 due installation risk and confined-space conflict</t>
  </si>
  <si>
    <t>CHG-010</t>
  </si>
  <si>
    <t>Add overspeed trip, vibration acceptance and hydraulic duty-point testing</t>
  </si>
  <si>
    <t>+18 days</t>
  </si>
  <si>
    <t>CHG-011</t>
  </si>
  <si>
    <t>Add SCADA, revenue metering and historian integration requirements</t>
  </si>
  <si>
    <t>CHG-012</t>
  </si>
  <si>
    <t>Pilot Closeout</t>
  </si>
  <si>
    <t>Close 0.25 MW pilot after 18-month development and update lessons learned</t>
  </si>
  <si>
    <t>Pilot</t>
  </si>
  <si>
    <t>0 days</t>
  </si>
  <si>
    <t>CHG-013</t>
  </si>
  <si>
    <t>Add HAZOP/LOTO actions before commissioning release</t>
  </si>
  <si>
    <t>CHG-014</t>
  </si>
  <si>
    <t>Finalize PAT package quotes and release construction MBOM</t>
  </si>
  <si>
    <t>+15 days</t>
  </si>
  <si>
    <t>CHG-015</t>
  </si>
  <si>
    <t>Spares</t>
  </si>
  <si>
    <t>Add O&amp;M spare kit and operator training deliverables</t>
  </si>
  <si>
    <t>+8 days</t>
  </si>
  <si>
    <t>CHG-016</t>
  </si>
  <si>
    <t>KPI Reporting</t>
  </si>
  <si>
    <t>Establish uptime, generation, downtime-cause and financial KPI dashboard</t>
  </si>
  <si>
    <t>CHG-017</t>
  </si>
  <si>
    <t>Field Attrition</t>
  </si>
  <si>
    <t>Decommission ST-09 after repeated bearing/vibration failures; return failure data to PLM</t>
  </si>
  <si>
    <t>Closed with lessons</t>
  </si>
  <si>
    <t>CHG-018</t>
  </si>
  <si>
    <t>Formalize monthly operating review and quarterly steering escalation path</t>
  </si>
  <si>
    <t>CHG-019</t>
  </si>
  <si>
    <t>Cyber / Data</t>
  </si>
  <si>
    <t>Add SCADA historian naming standard and data retention controls</t>
  </si>
  <si>
    <t>+4 days</t>
  </si>
  <si>
    <t>CHG-020</t>
  </si>
  <si>
    <t>Add vibration trending alarms and quarterly condition-monitoring review</t>
  </si>
  <si>
    <t>CHG-021</t>
  </si>
  <si>
    <t>Refresh OPEX, reserve and net cash-flow economics against target $14M CapEx</t>
  </si>
  <si>
    <t>CHG-022</t>
  </si>
  <si>
    <t>NPI Feedback</t>
  </si>
  <si>
    <t>Add attrition summary: 14 candidates, 2 filtered, 1 field attrition, 11 operating</t>
  </si>
  <si>
    <t>CHG-023</t>
  </si>
  <si>
    <t>Overhaul</t>
  </si>
  <si>
    <t>Schedule generator bearing inspection and PAT wear-part overhaul cycle</t>
  </si>
  <si>
    <t>CHG-024</t>
  </si>
  <si>
    <t>Report Refresh</t>
  </si>
  <si>
    <t>Refresh executive report and remove unresolved external workbook link prompt</t>
  </si>
  <si>
    <t>PLM / Finance</t>
  </si>
  <si>
    <t>Total changes</t>
  </si>
  <si>
    <t>Accepted / closed</t>
  </si>
  <si>
    <t>Critical changes</t>
  </si>
  <si>
    <t>Watch</t>
  </si>
  <si>
    <t>CapEx impact $k</t>
  </si>
  <si>
    <t>Tie to CBA</t>
  </si>
  <si>
    <t>Annual OPEX impact $k</t>
  </si>
  <si>
    <t>External link remediation</t>
  </si>
  <si>
    <t>ECN</t>
  </si>
  <si>
    <t>Lifecycle Stage</t>
  </si>
  <si>
    <t>Gate</t>
  </si>
  <si>
    <t>G0</t>
  </si>
  <si>
    <t>PLM Manager</t>
  </si>
  <si>
    <t>SITE-SURVEY-PKG / B</t>
  </si>
  <si>
    <t>Need station-level hydraulic head and flow data</t>
  </si>
  <si>
    <t>Survey template released</t>
  </si>
  <si>
    <t>Development budget added</t>
  </si>
  <si>
    <t>G1</t>
  </si>
  <si>
    <t>ST-07 Site Record</t>
  </si>
  <si>
    <t>Physical envelope incompatible with skid and safe access</t>
  </si>
  <si>
    <t>Station removed before execution</t>
  </si>
  <si>
    <t>Avoided stranded CapEx</t>
  </si>
  <si>
    <t>Steering</t>
  </si>
  <si>
    <t>Closed</t>
  </si>
  <si>
    <t>PIPE-SPOOL-SS316 / C</t>
  </si>
  <si>
    <t>Corrosion risk under condensate and washdown exposure</t>
  </si>
  <si>
    <t>SS316 spool material released</t>
  </si>
  <si>
    <t>CapEx +$55k; OPEX +$8k/yr</t>
  </si>
  <si>
    <t>G2</t>
  </si>
  <si>
    <t>MCC-PNL-480V / B</t>
  </si>
  <si>
    <t>Protection and synchronization requirements incomplete</t>
  </si>
  <si>
    <t>MCC/protection panel released</t>
  </si>
  <si>
    <t>Included in EPC target</t>
  </si>
  <si>
    <t>ST-12 Site Record</t>
  </si>
  <si>
    <t>Confined-space and installation risk exceeds threshold</t>
  </si>
  <si>
    <t>Avoided high-risk spend</t>
  </si>
  <si>
    <t>VFD-BRAKE-OPT / A</t>
  </si>
  <si>
    <t>Overspeed and transient trip testing identified braking requirement</t>
  </si>
  <si>
    <t>Braking option released</t>
  </si>
  <si>
    <t>CapEx +$40k</t>
  </si>
  <si>
    <t>G3</t>
  </si>
  <si>
    <t>SCADA-PLC-IO / C</t>
  </si>
  <si>
    <t>Remote monitoring and revenue reporting require historian data</t>
  </si>
  <si>
    <t>SCADA/historian scope released</t>
  </si>
  <si>
    <t>OPEX data capture improves reporting</t>
  </si>
  <si>
    <t>FAT-SAT-PKG / A</t>
  </si>
  <si>
    <t>Safety and test evidence needed before wet commissioning</t>
  </si>
  <si>
    <t>FAT/SAT dossier mandatory</t>
  </si>
  <si>
    <t>G4</t>
  </si>
  <si>
    <t>PAT-ASSY-250KW / C</t>
  </si>
  <si>
    <t>Supplier final quote package and PAT curves received</t>
  </si>
  <si>
    <t>PAT package released</t>
  </si>
  <si>
    <t>CapEx +$210k</t>
  </si>
  <si>
    <t>SPARES-YR1-KIT / A</t>
  </si>
  <si>
    <t>Initial operating period needs spare bearings, seals, sensors</t>
  </si>
  <si>
    <t>Spares kit and training released</t>
  </si>
  <si>
    <t>CapEx +$35k; OPEX +$18k/yr</t>
  </si>
  <si>
    <t>G5</t>
  </si>
  <si>
    <t>ST-09 Site Record</t>
  </si>
  <si>
    <t>Repeated bearing/vibration failures after installation</t>
  </si>
  <si>
    <t>Station decommissioned; DVP&amp;R updated</t>
  </si>
  <si>
    <t>Reduced future OPEX drag</t>
  </si>
  <si>
    <t>OVERHAUL-RESERVE / A</t>
  </si>
  <si>
    <t>Lifecycle reserve needed for overhaul and major maintenance</t>
  </si>
  <si>
    <t>Annual reserve added to economics</t>
  </si>
  <si>
    <t>Net cash-flow adjusted for IRR</t>
  </si>
  <si>
    <t>ECN-024</t>
  </si>
  <si>
    <t>Workbook Linkage / A</t>
  </si>
  <si>
    <t>Workbook opened with update-link prompt; model should be self-contained</t>
  </si>
  <si>
    <t>Break external workbook links and rebuild local formulas</t>
  </si>
  <si>
    <t>No financial impact</t>
  </si>
  <si>
    <t>ECN-025</t>
  </si>
  <si>
    <t>Executive Pack / D</t>
  </si>
  <si>
    <t>Steering pack needed full technical and financial refresh</t>
  </si>
  <si>
    <t>Dashboard and executive report rebuilt</t>
  </si>
  <si>
    <t>Reporting improvement</t>
  </si>
  <si>
    <t>D</t>
  </si>
  <si>
    <t>Exit Criteria</t>
  </si>
  <si>
    <t>Technical Evidence</t>
  </si>
  <si>
    <t>Financial Evidence</t>
  </si>
  <si>
    <t>Operational Evidence</t>
  </si>
  <si>
    <t>Escalation Path</t>
  </si>
  <si>
    <t>Opportunity defined and PLM baseline opened</t>
  </si>
  <si>
    <t>Pressure energy recovery concept note</t>
  </si>
  <si>
    <t>Initial EPC budget</t>
  </si>
  <si>
    <t>NPI charter</t>
  </si>
  <si>
    <t>Pass</t>
  </si>
  <si>
    <t>PMO → Steering</t>
  </si>
  <si>
    <t>Feasibility Filtering</t>
  </si>
  <si>
    <t>14 candidates screened; unsafe sites removed</t>
  </si>
  <si>
    <t>Hydraulic survey and envelope checks</t>
  </si>
  <si>
    <t>Pilot $0.75M / 0.25MW / 18 months approved</t>
  </si>
  <si>
    <t>Site access risk review</t>
  </si>
  <si>
    <t>Pass with attrition</t>
  </si>
  <si>
    <t>Engineering → Steering</t>
  </si>
  <si>
    <t>Design Freeze</t>
  </si>
  <si>
    <t>EBOM, interfaces, HAZOP and grid study released</t>
  </si>
  <si>
    <t>PAT curves, generator sizing, protection settings</t>
  </si>
  <si>
    <t>CapEx bridge within $14M target</t>
  </si>
  <si>
    <t>Procurement readiness</t>
  </si>
  <si>
    <t>Design Authority</t>
  </si>
  <si>
    <t>DVP&amp;R and pilot close-out accepted</t>
  </si>
  <si>
    <t>FAT, SAT, overspeed, vibration, thermal tests</t>
  </si>
  <si>
    <t>Pilot learnings incorporated</t>
  </si>
  <si>
    <t>Operator training plan</t>
  </si>
  <si>
    <t>Validation Board</t>
  </si>
  <si>
    <t>Wet commissioning and grid sync evidence complete</t>
  </si>
  <si>
    <t>Trip tests, bypass operation, SCADA points</t>
  </si>
  <si>
    <t>Installed cost and forecast OPEX refreshed</t>
  </si>
  <si>
    <t>Site handover</t>
  </si>
  <si>
    <t>Commissioning Board</t>
  </si>
  <si>
    <t>O&amp;M Release</t>
  </si>
  <si>
    <t>11 operating stations transitioned to KPI governance</t>
  </si>
  <si>
    <t>Reliability alarms, historian data, maintenance plan</t>
  </si>
  <si>
    <t>Payback / IRR tracked monthly/quarterly</t>
  </si>
  <si>
    <t>Monthly ops review</t>
  </si>
  <si>
    <t>Pass / monitor</t>
  </si>
  <si>
    <t>Operations → Steering</t>
  </si>
  <si>
    <t>G5-FB</t>
  </si>
  <si>
    <t>Field Attrition Feedback</t>
  </si>
  <si>
    <t>ST-09 decommissioned and lessons pushed to PLM</t>
  </si>
  <si>
    <t>Bearing/vibration failure data attached to DVP&amp;R</t>
  </si>
  <si>
    <t>OPEX risk reduced after removal</t>
  </si>
  <si>
    <t>Corrective actions closed</t>
  </si>
  <si>
    <t>Reliability Board</t>
  </si>
  <si>
    <t>Validation Test ID</t>
  </si>
  <si>
    <t>Coverage</t>
  </si>
  <si>
    <t>Result</t>
  </si>
  <si>
    <t>Defect Count</t>
  </si>
  <si>
    <t>Corrective Action</t>
  </si>
  <si>
    <t>Release Impact</t>
  </si>
  <si>
    <t>Hydraulic PAT</t>
  </si>
  <si>
    <t>Duty point within ±5% of curve</t>
  </si>
  <si>
    <t>Pilot + 11 active stations</t>
  </si>
  <si>
    <t>None</t>
  </si>
  <si>
    <t>Release</t>
  </si>
  <si>
    <t>Temperature rise within OEM class</t>
  </si>
  <si>
    <t>FAT all generator packages</t>
  </si>
  <si>
    <t>Cooling airflow note added</t>
  </si>
  <si>
    <t>Trip selectivity and anti-islanding verified</t>
  </si>
  <si>
    <t>All commissioned stations</t>
  </si>
  <si>
    <t>Bypass Valve</t>
  </si>
  <si>
    <t>Fail-safe bypass open on trip/loss of power</t>
  </si>
  <si>
    <t>Valve actuator setting revised</t>
  </si>
  <si>
    <t>Release after CA</t>
  </si>
  <si>
    <t>Vibration</t>
  </si>
  <si>
    <t>RMS vibration below alarm limit</t>
  </si>
  <si>
    <t>Pilot and operating stations</t>
  </si>
  <si>
    <t>Pass with monitor</t>
  </si>
  <si>
    <t>Quarterly vibration trend</t>
  </si>
  <si>
    <t>Monitor</t>
  </si>
  <si>
    <t>Open monitor</t>
  </si>
  <si>
    <t>Revenue and downtime tags captured</t>
  </si>
  <si>
    <t>11 operating stations</t>
  </si>
  <si>
    <t>HAZOP / LOTO</t>
  </si>
  <si>
    <t>All category A actions closed before wet commissioning</t>
  </si>
  <si>
    <t>All stations</t>
  </si>
  <si>
    <t>Civil Access</t>
  </si>
  <si>
    <t>Safe maintenance envelope and lifting plan</t>
  </si>
  <si>
    <t>14 candidates</t>
  </si>
  <si>
    <t>Fail for 2</t>
  </si>
  <si>
    <t>Remove ST-07/ST-12</t>
  </si>
  <si>
    <t>Scope attrition</t>
  </si>
  <si>
    <t>Commercial Case</t>
  </si>
  <si>
    <t>Payback ≤5 years and IRR 10–13%</t>
  </si>
  <si>
    <t>Portfolio case</t>
  </si>
  <si>
    <t>Refresh quarterly</t>
  </si>
  <si>
    <t>Steering report</t>
  </si>
  <si>
    <t>Uptime KPI</t>
  </si>
  <si>
    <t>Operating uptime in 96–99% band</t>
  </si>
  <si>
    <t>Monthly O&amp;M data</t>
  </si>
  <si>
    <t>Escalate if &lt;96%</t>
  </si>
  <si>
    <t>O&amp;M release</t>
  </si>
  <si>
    <t>Cyber / OT</t>
  </si>
  <si>
    <t>Historian naming and OT access control implemented</t>
  </si>
  <si>
    <t>11 stations</t>
  </si>
  <si>
    <t>Annual access review</t>
  </si>
  <si>
    <t>IT/OT</t>
  </si>
  <si>
    <t>Failure Feedback</t>
  </si>
  <si>
    <t>Field failure lessons fed into PLM and DVP&amp;R</t>
  </si>
  <si>
    <t>ST-09</t>
  </si>
  <si>
    <t>DVP&amp;R updated</t>
  </si>
  <si>
    <t>Closed loop</t>
  </si>
  <si>
    <t>VAL-013</t>
  </si>
  <si>
    <t>Financial Controls</t>
  </si>
  <si>
    <t>No external links and local formulas for steering pack</t>
  </si>
  <si>
    <t>Workbook</t>
  </si>
  <si>
    <t>Break links / local rebuild</t>
  </si>
  <si>
    <t>VAL-014</t>
  </si>
  <si>
    <t>Stage-Gate Traceability</t>
  </si>
  <si>
    <t>Each gate has technical, financial and operating evidence</t>
  </si>
  <si>
    <t>All gates</t>
  </si>
  <si>
    <t>Quarterly audit</t>
  </si>
  <si>
    <t>Station</t>
  </si>
  <si>
    <t>Stage Outcome</t>
  </si>
  <si>
    <t>Commissioned</t>
  </si>
  <si>
    <t>Operating Status</t>
  </si>
  <si>
    <t>Capacity MW</t>
  </si>
  <si>
    <t>Uptime %</t>
  </si>
  <si>
    <t>Annual GWh</t>
  </si>
  <si>
    <t>CapEx M$</t>
  </si>
  <si>
    <t>Key Constraint / Failure Mode</t>
  </si>
  <si>
    <t>Tech Gate</t>
  </si>
  <si>
    <t>Finance Gate</t>
  </si>
  <si>
    <t>Ops Gate</t>
  </si>
  <si>
    <t>Residual Risk</t>
  </si>
  <si>
    <t>PLM Feedback</t>
  </si>
  <si>
    <t>ST-01</t>
  </si>
  <si>
    <t>Operating</t>
  </si>
  <si>
    <t>Active</t>
  </si>
  <si>
    <t>Normal PRV replacement envelope</t>
  </si>
  <si>
    <t>Baseline retained</t>
  </si>
  <si>
    <t>ST-02</t>
  </si>
  <si>
    <t>High moisture controlled by enclosure</t>
  </si>
  <si>
    <t>Maintenance note</t>
  </si>
  <si>
    <t>ST-03</t>
  </si>
  <si>
    <t>Noise abatement required</t>
  </si>
  <si>
    <t>Acoustic kit added</t>
  </si>
  <si>
    <t>ST-04</t>
  </si>
  <si>
    <t>Civil anchors upgraded</t>
  </si>
  <si>
    <t>Anchor kit standard</t>
  </si>
  <si>
    <t>ST-05</t>
  </si>
  <si>
    <t>Valve actuator tuning</t>
  </si>
  <si>
    <t>Valve setting CA</t>
  </si>
  <si>
    <t>ST-06</t>
  </si>
  <si>
    <t>SCADA tag mapping</t>
  </si>
  <si>
    <t>Historian standard</t>
  </si>
  <si>
    <t>ST-07</t>
  </si>
  <si>
    <t>Filtered out</t>
  </si>
  <si>
    <t>Eliminated pre-execution</t>
  </si>
  <si>
    <t>Severe physical space and safe access constraint</t>
  </si>
  <si>
    <t>Fail</t>
  </si>
  <si>
    <t>Pre-execution elimination</t>
  </si>
  <si>
    <t>ST-08</t>
  </si>
  <si>
    <t>Bypass valve access conflict resolved</t>
  </si>
  <si>
    <t>Access kit added</t>
  </si>
  <si>
    <t>Field attrition</t>
  </si>
  <si>
    <t>Decommissioned</t>
  </si>
  <si>
    <t>Bearing/vibration failures under transient duty</t>
  </si>
  <si>
    <t>Failure data to DVP&amp;R</t>
  </si>
  <si>
    <t>ST-10</t>
  </si>
  <si>
    <t>Protection relay settings revised</t>
  </si>
  <si>
    <t>Relay template updated</t>
  </si>
  <si>
    <t>ST-11</t>
  </si>
  <si>
    <t>Condensate corrosion risk mitigated</t>
  </si>
  <si>
    <t>SS316 standard</t>
  </si>
  <si>
    <t>ST-12</t>
  </si>
  <si>
    <t>Installation risk / confined space unacceptable</t>
  </si>
  <si>
    <t>ST-13</t>
  </si>
  <si>
    <t>Grid interconnection study required</t>
  </si>
  <si>
    <t>Grid study template</t>
  </si>
  <si>
    <t>ST-14</t>
  </si>
  <si>
    <t>Operator access training required</t>
  </si>
  <si>
    <t>Training package</t>
  </si>
  <si>
    <t>Category</t>
  </si>
  <si>
    <t>Risk Event</t>
  </si>
  <si>
    <t>Probability</t>
  </si>
  <si>
    <t>Impact</t>
  </si>
  <si>
    <t>Rating</t>
  </si>
  <si>
    <t>Mitigation / Control</t>
  </si>
  <si>
    <t>Hydraulic</t>
  </si>
  <si>
    <t>Duty point drift reduces PAT output</t>
  </si>
  <si>
    <t>Quarterly duty point review and curve revalidation</t>
  </si>
  <si>
    <t>Monitored</t>
  </si>
  <si>
    <t>Bearing vibration exceeds alarm limit</t>
  </si>
  <si>
    <t>Vibration sensors, inspection and overhaul reserve</t>
  </si>
  <si>
    <t>Relay coordination or anti-islanding failure</t>
  </si>
  <si>
    <t>Annual relay test and grid study template</t>
  </si>
  <si>
    <t>Controlled</t>
  </si>
  <si>
    <t>No safe maintenance access</t>
  </si>
  <si>
    <t>Gate G1 envelope review; eliminated ST-07/ST-12</t>
  </si>
  <si>
    <t>SCADA data gaps impact revenue reporting</t>
  </si>
  <si>
    <t>Historian tag standard and monthly data QC</t>
  </si>
  <si>
    <t>CapEx exceeds $14M target</t>
  </si>
  <si>
    <t>ECN approval threshold and quarterly steering review</t>
  </si>
  <si>
    <t>OPEX erodes 5-year payback</t>
  </si>
  <si>
    <t>OPEX dashboard and lifecycle reserve</t>
  </si>
  <si>
    <t>Uptime below 96% threshold</t>
  </si>
  <si>
    <t>Monthly O&amp;M review with escalation below threshold</t>
  </si>
  <si>
    <t>LOTO or bypass procedure not followed</t>
  </si>
  <si>
    <t>HAZOP/LOTO closure and annual training</t>
  </si>
  <si>
    <t>PAT or generator lead time delays commissioning</t>
  </si>
  <si>
    <t>Supplier quote package and long-lead tracker</t>
  </si>
  <si>
    <t>R-011</t>
  </si>
  <si>
    <t>Field attrition repeats after ST-09 failure</t>
  </si>
  <si>
    <t>Failure mode added to DVP&amp;R and design standard</t>
  </si>
  <si>
    <t>R-012</t>
  </si>
  <si>
    <t>Data</t>
  </si>
  <si>
    <t>External workbook link corrupts steering report refresh</t>
  </si>
  <si>
    <t>Local formulas and external link break completed</t>
  </si>
  <si>
    <t>R-013</t>
  </si>
  <si>
    <t>Historian access not governed</t>
  </si>
  <si>
    <t>OT access review and historian naming governance</t>
  </si>
  <si>
    <t>R-014</t>
  </si>
  <si>
    <t>Commercial</t>
  </si>
  <si>
    <t>Tariff sensitivity reduces IRR below hurdle</t>
  </si>
  <si>
    <t>Quarterly sensitivity review and operating cost control</t>
  </si>
  <si>
    <t>R-015</t>
  </si>
  <si>
    <t>Environmental</t>
  </si>
  <si>
    <t>Flooding or drainage event damages skid</t>
  </si>
  <si>
    <t>Drain/sump mod and inspection checklist</t>
  </si>
  <si>
    <t>R-016</t>
  </si>
  <si>
    <t>As-built records not synchronized to PLM</t>
  </si>
  <si>
    <t>Quality dossier and PLM release checklist</t>
  </si>
  <si>
    <t>Attrition Metric</t>
  </si>
  <si>
    <t>Count</t>
  </si>
  <si>
    <t>Formula / Trace</t>
  </si>
  <si>
    <t>Candidates entering NPI</t>
  </si>
  <si>
    <t>User-provided project funnel</t>
  </si>
  <si>
    <t>Filtered before execution</t>
  </si>
  <si>
    <t>ST-07 + ST-12</t>
  </si>
  <si>
    <t>Installed / commissioned</t>
  </si>
  <si>
    <t>Candidates - filtered</t>
  </si>
  <si>
    <t>Decommissioned after deployment</t>
  </si>
  <si>
    <t>Operating today</t>
  </si>
  <si>
    <t>Formula count</t>
  </si>
  <si>
    <t>Operating target</t>
  </si>
  <si>
    <t>User requirement</t>
  </si>
  <si>
    <t>Operating tie-out</t>
  </si>
  <si>
    <t>0 = PASS</t>
  </si>
  <si>
    <t>Input / Output</t>
  </si>
  <si>
    <t>Source / Notes</t>
  </si>
  <si>
    <t>Target EPC CapEx</t>
  </si>
  <si>
    <t>Input</t>
  </si>
  <si>
    <t>User-provided target EPC CapEx</t>
  </si>
  <si>
    <t>Target Payback</t>
  </si>
  <si>
    <t>User-provided target payback</t>
  </si>
  <si>
    <t>Target IRR Low</t>
  </si>
  <si>
    <t>User-provided lower hurdle</t>
  </si>
  <si>
    <t>Target IRR High</t>
  </si>
  <si>
    <t>User-provided upper hurdle</t>
  </si>
  <si>
    <t>Pilot CapEx</t>
  </si>
  <si>
    <t>0.25 MW pilot program</t>
  </si>
  <si>
    <t>Pilot Capacity</t>
  </si>
  <si>
    <t>MW</t>
  </si>
  <si>
    <t>Pilot capacity</t>
  </si>
  <si>
    <t>Pilot Development Duration</t>
  </si>
  <si>
    <t>months</t>
  </si>
  <si>
    <t>Development duration</t>
  </si>
  <si>
    <t>Candidate Stations</t>
  </si>
  <si>
    <t>NPI candidate funnel</t>
  </si>
  <si>
    <t>Eliminated Pre-Execution</t>
  </si>
  <si>
    <t>Site risk / space constraints</t>
  </si>
  <si>
    <t>Decommissioned Post-Install</t>
  </si>
  <si>
    <t>ST-09 field attrition</t>
  </si>
  <si>
    <t>Operating Stations</t>
  </si>
  <si>
    <t>14 candidates - 2 filtered - 1 decommissioned</t>
  </si>
  <si>
    <t>Avg Capacity per Operating Station</t>
  </si>
  <si>
    <t>PAT package design basis</t>
  </si>
  <si>
    <t>Operating Uptime / Availability</t>
  </si>
  <si>
    <t>Within 96–99% uptime KPI band</t>
  </si>
  <si>
    <t>Blended Revenue Tariff</t>
  </si>
  <si>
    <t>Commercial assumption; M$/GWh equivalent</t>
  </si>
  <si>
    <t>Fixed O&amp;M</t>
  </si>
  <si>
    <t>M$/yr</t>
  </si>
  <si>
    <t>Staffing, inspections, insurance, compliance</t>
  </si>
  <si>
    <t>Variable O&amp;M Rate</t>
  </si>
  <si>
    <t>M$/GWh</t>
  </si>
  <si>
    <t>Wear parts, spares, condition monitoring</t>
  </si>
  <si>
    <t>Economic Output</t>
  </si>
  <si>
    <t>Formula / Logic</t>
  </si>
  <si>
    <t>Target / Threshold</t>
  </si>
  <si>
    <t>Installed Operating Capacity</t>
  </si>
  <si>
    <t>Operating stations × 0.25 MW</t>
  </si>
  <si>
    <t>Annual Net Generation</t>
  </si>
  <si>
    <t>GWh/yr</t>
  </si>
  <si>
    <t>Capacity × hours × uptime</t>
  </si>
  <si>
    <t>Gross Revenue</t>
  </si>
  <si>
    <t>GWh × $/kWh</t>
  </si>
  <si>
    <t>Variable O&amp;M</t>
  </si>
  <si>
    <t>GWh × variable O&amp;M rate</t>
  </si>
  <si>
    <t>Total OPEX</t>
  </si>
  <si>
    <t>Fixed + variable O&amp;M</t>
  </si>
  <si>
    <t>EBITDA before Reserve</t>
  </si>
  <si>
    <t>Gross revenue - total OPEX</t>
  </si>
  <si>
    <t>Target EPC CapEx / EBITDA</t>
  </si>
  <si>
    <t>≤ 5.0</t>
  </si>
  <si>
    <t>Major overhaul reserve</t>
  </si>
  <si>
    <t>Annual Net Operating Cash Flow</t>
  </si>
  <si>
    <t>EBITDA less lifecycle reserve</t>
  </si>
  <si>
    <t>Project IRR</t>
  </si>
  <si>
    <t>10-year unlevered cash flow incl. ramp/residual</t>
  </si>
  <si>
    <t>10–13%</t>
  </si>
  <si>
    <t>IRR Hurdle Check</t>
  </si>
  <si>
    <t>status</t>
  </si>
  <si>
    <t>Within user-provided range</t>
  </si>
  <si>
    <t>Payback Check</t>
  </si>
  <si>
    <t>Simple payback vs target</t>
  </si>
  <si>
    <t>≤ 5.0 years</t>
  </si>
  <si>
    <t>Cash Flow Year</t>
  </si>
  <si>
    <t>Unlevered FCF M$</t>
  </si>
  <si>
    <t>Sensitivity</t>
  </si>
  <si>
    <t>Downside</t>
  </si>
  <si>
    <t>Base</t>
  </si>
  <si>
    <t>Upside</t>
  </si>
  <si>
    <t>Tariff $/kWh</t>
  </si>
  <si>
    <t>Commercial revenue sensitivity</t>
  </si>
  <si>
    <t>Availability</t>
  </si>
  <si>
    <t>Uptime KPI range</t>
  </si>
  <si>
    <t>EBITDA M$/yr</t>
  </si>
  <si>
    <t>Directional sensitivity</t>
  </si>
  <si>
    <t>Payback yrs</t>
  </si>
  <si>
    <t>Lower is better</t>
  </si>
  <si>
    <t>Steering cadence</t>
  </si>
  <si>
    <t>Monthly ops</t>
  </si>
  <si>
    <t>Quarterly steering</t>
  </si>
  <si>
    <t>Escalate below 96% uptime</t>
  </si>
  <si>
    <t>Governance rule</t>
  </si>
  <si>
    <t>Target / Band</t>
  </si>
  <si>
    <t>Interpretation</t>
  </si>
  <si>
    <t>$14.0M</t>
  </si>
  <si>
    <t>Portfolio tied to EPC target</t>
  </si>
  <si>
    <t>Operating stations</t>
  </si>
  <si>
    <t>≤5.0</t>
  </si>
  <si>
    <t>Meets user hurdle before financing</t>
  </si>
  <si>
    <t>11 active stations at 97.5% availability</t>
  </si>
  <si>
    <t>Tariff-linked energy recovery revenue</t>
  </si>
  <si>
    <t>OPEX</t>
  </si>
  <si>
    <t>NPI funnel entry count</t>
  </si>
  <si>
    <t>Filtered</t>
  </si>
  <si>
    <t>Installed / Commissioned</t>
  </si>
  <si>
    <t>One installed station decommissioned</t>
  </si>
  <si>
    <t>Steering Cadence</t>
  </si>
  <si>
    <t>Monthly / Quarterly</t>
  </si>
  <si>
    <t>cadence</t>
  </si>
  <si>
    <t>Ops / Steering</t>
  </si>
  <si>
    <t>Monthly KPI review; quarterly steering</t>
  </si>
  <si>
    <t>Link Prompt</t>
  </si>
  <si>
    <t>Removed / local formulas</t>
  </si>
  <si>
    <t>Start</t>
  </si>
  <si>
    <t>Finish / Release</t>
  </si>
  <si>
    <t>Main Evidence</t>
  </si>
  <si>
    <t>2012-01</t>
  </si>
  <si>
    <t>2012-03</t>
  </si>
  <si>
    <t>PLM baseline + business case</t>
  </si>
  <si>
    <t>Pre-Execution Feasibility</t>
  </si>
  <si>
    <t>2012-04</t>
  </si>
  <si>
    <t>2012-12</t>
  </si>
  <si>
    <t>14 candidates screened; 2 removed</t>
  </si>
  <si>
    <t>2013-01</t>
  </si>
  <si>
    <t>2014-10</t>
  </si>
  <si>
    <t>EBOM/MBOM, HAZOP, grid study</t>
  </si>
  <si>
    <t>2014-11</t>
  </si>
  <si>
    <t>2015-09</t>
  </si>
  <si>
    <t>Pilot, FAT/SAT, DVP&amp;R</t>
  </si>
  <si>
    <t>2015-10</t>
  </si>
  <si>
    <t>2016-07</t>
  </si>
  <si>
    <t>Wet commissioning + grid sync</t>
  </si>
  <si>
    <t>2017-01</t>
  </si>
  <si>
    <t>Present</t>
  </si>
  <si>
    <t>11 operating stations; KPI governance</t>
  </si>
  <si>
    <t>Field Feedback</t>
  </si>
  <si>
    <t>2019-03</t>
  </si>
  <si>
    <t>ST-09 failure data fed back to PLM</t>
  </si>
  <si>
    <t>Attrition Funnel</t>
  </si>
  <si>
    <t>Candidate stations</t>
  </si>
  <si>
    <t>NPI entry</t>
  </si>
  <si>
    <t>Pre-execution eliminated</t>
  </si>
  <si>
    <t>ST-07/ST-12</t>
  </si>
  <si>
    <t>After feasibility</t>
  </si>
  <si>
    <t>Post-install decommissioned</t>
  </si>
  <si>
    <t>Active assets</t>
  </si>
  <si>
    <t>Management Takeaway</t>
  </si>
  <si>
    <t>Detail</t>
  </si>
  <si>
    <t>Escalation Trigger</t>
  </si>
  <si>
    <t>Evidence Sheet</t>
  </si>
  <si>
    <t>Cell / Range</t>
  </si>
  <si>
    <t>Next Action</t>
  </si>
  <si>
    <t>Due</t>
  </si>
  <si>
    <t>Economic case meets hurdle</t>
  </si>
  <si>
    <t>Payback near 5 years and IRR in 10–13% band</t>
  </si>
  <si>
    <t>Quarterly</t>
  </si>
  <si>
    <t>IRR &lt;10% or payback &gt;5.0</t>
  </si>
  <si>
    <t>Cost Benefit Analysis</t>
  </si>
  <si>
    <t>A21:F36</t>
  </si>
  <si>
    <t>Maintain OPEX and uptime discipline</t>
  </si>
  <si>
    <t>2026-Q3</t>
  </si>
  <si>
    <t>Technical envelope stable</t>
  </si>
  <si>
    <t>11 operating stations have accepted release evidence</t>
  </si>
  <si>
    <t>Monthly</t>
  </si>
  <si>
    <t>Any uptime &lt;96%</t>
  </si>
  <si>
    <t>Validation &amp; Release Management</t>
  </si>
  <si>
    <t>A12:J26</t>
  </si>
  <si>
    <t>Continue vibration trend review</t>
  </si>
  <si>
    <t>Attrition captured correctly</t>
  </si>
  <si>
    <t>14 candidates, 2 pre-execution filters, 1 decommissioned, 11 active</t>
  </si>
  <si>
    <t>Uncontrolled field attrition</t>
  </si>
  <si>
    <t>Risk Management</t>
  </si>
  <si>
    <t>A3:O17</t>
  </si>
  <si>
    <t>Keep ST-09 lessons linked</t>
  </si>
  <si>
    <t>Change governance improved</t>
  </si>
  <si>
    <t>ECNs tie engineering changes to technical and financial disposition</t>
  </si>
  <si>
    <t>Critical ECN without approval</t>
  </si>
  <si>
    <t>Change Management (ECN)</t>
  </si>
  <si>
    <t>A3:Q18</t>
  </si>
  <si>
    <t>Audit ECN approvals</t>
  </si>
  <si>
    <t>External links resolved</t>
  </si>
  <si>
    <t>Workbook uses local formulas and link prompt status is tracked</t>
  </si>
  <si>
    <t>At release</t>
  </si>
  <si>
    <t>Open update-link prompt</t>
  </si>
  <si>
    <t>Dashboard</t>
  </si>
  <si>
    <t>A4:J10</t>
  </si>
  <si>
    <t>Verify on next open</t>
  </si>
  <si>
    <t>Next open</t>
  </si>
  <si>
    <t>Operational cadence live</t>
  </si>
  <si>
    <t>Monthly KPI review plus quarterly steering escalation path</t>
  </si>
  <si>
    <t>Uptime &lt;96%, cost breach</t>
  </si>
  <si>
    <t>LIVE</t>
  </si>
  <si>
    <t>Executive Report</t>
  </si>
  <si>
    <t>A1:H36</t>
  </si>
  <si>
    <t>Use refreshed steering pack</t>
  </si>
  <si>
    <t>PLM data model consistent</t>
  </si>
  <si>
    <t>Document, BOM, Change, ECN, Validation, Risk and CBA objects aligned</t>
  </si>
  <si>
    <t>Broken traceability</t>
  </si>
  <si>
    <t>Documents Management</t>
  </si>
  <si>
    <t>A5:H24</t>
  </si>
  <si>
    <t>Refresh Teamcenter export</t>
  </si>
  <si>
    <t>Section</t>
  </si>
  <si>
    <t>Finding / Report Detail</t>
  </si>
  <si>
    <t>Governance / Escalation</t>
  </si>
  <si>
    <t>Executive summary</t>
  </si>
  <si>
    <t>Controlled documents, EBOM/MBOM and ECN board rebuilt</t>
  </si>
  <si>
    <t>Target EPC CapEx $14.0M, payback 5 years, IRR 10–13%</t>
  </si>
  <si>
    <t>11 stations operating under KPI review</t>
  </si>
  <si>
    <t>Monthly ops; quarterly steering</t>
  </si>
  <si>
    <t>Lifecycle ownership</t>
  </si>
  <si>
    <t>Delivery model is explicitly Project Proposal → Design → Validation &amp; Testing → Commissioning → O&amp;M</t>
  </si>
  <si>
    <t>Stage-gate sheet maps G0 through G5-FB</t>
  </si>
  <si>
    <t>Economics tied to gates</t>
  </si>
  <si>
    <t>O&amp;M release includes uptime controls</t>
  </si>
  <si>
    <t>Assigned gate owners</t>
  </si>
  <si>
    <t>NPI attrition</t>
  </si>
  <si>
    <t>14 candidate stations, 2 filtered before execution, 1 decommissioned after installation, 11 active</t>
  </si>
  <si>
    <t>Risk sheet lists all 14 stations</t>
  </si>
  <si>
    <t>Avoided CapEx from removed sites; ST-09 learning captured</t>
  </si>
  <si>
    <t>Operating count formula-checks to 11</t>
  </si>
  <si>
    <t>Reliability board escalation</t>
  </si>
  <si>
    <t>Pre-execution filtering</t>
  </si>
  <si>
    <t>ST-07 and ST-12 eliminated for site installation risk and physical space constraints</t>
  </si>
  <si>
    <t>Gate G1 civil envelope checks failed</t>
  </si>
  <si>
    <t>No stranded execution CapEx</t>
  </si>
  <si>
    <t>Risks closed before construction</t>
  </si>
  <si>
    <t>Steering approval</t>
  </si>
  <si>
    <t>Post-install field attrition</t>
  </si>
  <si>
    <t>ST-09 decommissioned after bearing/vibration failures and failure data fed back to DVP&amp;R</t>
  </si>
  <si>
    <t>Failure mode linked to validation and risk register</t>
  </si>
  <si>
    <t>OPEX drag reduced</t>
  </si>
  <si>
    <t>Reliability monitoring upgraded</t>
  </si>
  <si>
    <t>Technical architecture</t>
  </si>
  <si>
    <t>Station package includes PAT/turbine, generator, bypass valves, stainless pipe spools, MCC/protection, SCADA/historian and instrumentation</t>
  </si>
  <si>
    <t>BOM includes controlled items and revisions</t>
  </si>
  <si>
    <t>Reference station MBOM cost summarized</t>
  </si>
  <si>
    <t>SCADA supports KPI reporting</t>
  </si>
  <si>
    <t>ECN approvals</t>
  </si>
  <si>
    <t>Pilot program</t>
  </si>
  <si>
    <t>Pilot captured as $0.75M CapEx, 0.25 MW and 18-month development duration</t>
  </si>
  <si>
    <t>Pilot closeout and test evidence included</t>
  </si>
  <si>
    <t>Pilot informs EPC target case</t>
  </si>
  <si>
    <t>Pilot lessons transferred to design freeze</t>
  </si>
  <si>
    <t>G3 validation closeout</t>
  </si>
  <si>
    <t>Portfolio capacity</t>
  </si>
  <si>
    <t>11 operating stations × 0.25 MW average capacity = 2.75 MW operating capacity</t>
  </si>
  <si>
    <t>Risk station table formulas calculate energy</t>
  </si>
  <si>
    <t>Generation from capacity × uptime</t>
  </si>
  <si>
    <t>Uptime aligns to 96–99% KPI</t>
  </si>
  <si>
    <t>Monthly review</t>
  </si>
  <si>
    <t>Energy and revenue</t>
  </si>
  <si>
    <t>Annual generation and revenue are calculated from capacity, uptime and $0.175/kWh tariff</t>
  </si>
  <si>
    <t>CBA bridge transparent</t>
  </si>
  <si>
    <t>Gross revenue feeds payback and IRR</t>
  </si>
  <si>
    <t>Revenue metric tied to dashboard</t>
  </si>
  <si>
    <t>Quarterly finance refresh</t>
  </si>
  <si>
    <t>OPEX model</t>
  </si>
  <si>
    <t>OPEX includes fixed inspection/compliance plus variable wear/spares and lifecycle reserve</t>
  </si>
  <si>
    <t>O&amp;M spare kit and reserve in BOM/CBA</t>
  </si>
  <si>
    <t>OPEX sensitivity visible</t>
  </si>
  <si>
    <t>Monthly OPEX review controls payback</t>
  </si>
  <si>
    <t>Steering escalation</t>
  </si>
  <si>
    <t>O&amp;M / Finance</t>
  </si>
  <si>
    <t>Economic hurdle</t>
  </si>
  <si>
    <t>Target EPC CapEx $14M, payback ≤5 years and IRR 10–13% are embedded as checks</t>
  </si>
  <si>
    <t>CBA shows formulas and hurdle checks</t>
  </si>
  <si>
    <t>Payback/IRR surfaced on dashboard</t>
  </si>
  <si>
    <t>Operating KPIs support durability</t>
  </si>
  <si>
    <t>Change management quality</t>
  </si>
  <si>
    <t>Change log reads like a real technical program from 2012 to 2026</t>
  </si>
  <si>
    <t>24 changes with owners, impacts and dispositions</t>
  </si>
  <si>
    <t>CapEx/OPEX impacts quantified</t>
  </si>
  <si>
    <t>Critical changes tracked</t>
  </si>
  <si>
    <t>Monthly ECN board</t>
  </si>
  <si>
    <t>ECN board</t>
  </si>
  <si>
    <t>ECN sheet ties changes to item revisions, systems, risk before/after and approvals</t>
  </si>
  <si>
    <t>Controlled items map to BOM/docs</t>
  </si>
  <si>
    <t>Financial disposition included</t>
  </si>
  <si>
    <t>Release states assigned</t>
  </si>
  <si>
    <t>Validation rigor</t>
  </si>
  <si>
    <t>Validation includes DVP&amp;R, FAT/SAT, overspeed, vibration, protection, bypass and SCADA tests</t>
  </si>
  <si>
    <t>Acceptance criteria and defects visible</t>
  </si>
  <si>
    <t>Commercial validation included</t>
  </si>
  <si>
    <t>Live monitors identified</t>
  </si>
  <si>
    <t>G3/G4 controls</t>
  </si>
  <si>
    <t>Risk governance</t>
  </si>
  <si>
    <t>Risk combines site attrition, station data and risk register</t>
  </si>
  <si>
    <t>Civil, hydraulic, electrical, reliability, cyber and commercial risks included</t>
  </si>
  <si>
    <t>CapEx/OPEX/tariff risks included</t>
  </si>
  <si>
    <t>Residual risk status assigned</t>
  </si>
  <si>
    <t>Operational reporting</t>
  </si>
  <si>
    <t>Dashboard includes KPI cards, lifecycle timeline, attrition funnel and actions</t>
  </si>
  <si>
    <t>Uptime, station count, economics and link status visible</t>
  </si>
  <si>
    <t>Outputs tie to CBA</t>
  </si>
  <si>
    <t>Monthly/quarterly cadence stated</t>
  </si>
  <si>
    <t>Data provenance</t>
  </si>
  <si>
    <t>Documents sheet uses Teamcenter-like IDs, revisions, release states and owners</t>
  </si>
  <si>
    <t>Docs align with BOM, ECN and validation objects</t>
  </si>
  <si>
    <t>User financial targets labeled</t>
  </si>
  <si>
    <t>Refresh date visible</t>
  </si>
  <si>
    <t>PLM dictionary included</t>
  </si>
  <si>
    <t>Workbook link remediation</t>
  </si>
  <si>
    <t>Model rebuilt with local formulas and no visible external references required</t>
  </si>
  <si>
    <t>Local formulas replace scattered references</t>
  </si>
  <si>
    <t>Dashboard tracks link-prompt status</t>
  </si>
  <si>
    <t>Next-open verification recommended</t>
  </si>
  <si>
    <t>PLM Admin confirm no startup prompt</t>
  </si>
  <si>
    <t>Technical detail</t>
  </si>
  <si>
    <t>Hydraulic package recovers pressure energy through PAT/generator while preserving bypass function</t>
  </si>
  <si>
    <t>PAT and bypass controlled in BOM</t>
  </si>
  <si>
    <t>CapEx included in EPC target</t>
  </si>
  <si>
    <t>Trips and bypass validated</t>
  </si>
  <si>
    <t>Engineering change approval</t>
  </si>
  <si>
    <t>Electrical design includes generator, MCC, relay protection, metering and grid synchronization</t>
  </si>
  <si>
    <t>MCC/relay package in ECN board</t>
  </si>
  <si>
    <t>Grid study cost captured</t>
  </si>
  <si>
    <t>Trip selectivity validated</t>
  </si>
  <si>
    <t>Electrical approval</t>
  </si>
  <si>
    <t>Controls include PLC/IO, revenue meter, historian and KPI tag standard</t>
  </si>
  <si>
    <t>SCADA/historian requirements released</t>
  </si>
  <si>
    <t>Reporting reduces manual reconciliation</t>
  </si>
  <si>
    <t>Monthly data QC</t>
  </si>
  <si>
    <t>Controls / IT-OT</t>
  </si>
  <si>
    <t>Mechanical design includes SS316 pipe spools, skid, anchoring, noise, drainage and access</t>
  </si>
  <si>
    <t>Materials ECN and civil risks included</t>
  </si>
  <si>
    <t>CapEx quantified</t>
  </si>
  <si>
    <t>Access failures filtered early</t>
  </si>
  <si>
    <t>Financial detail</t>
  </si>
  <si>
    <t>Base case separates EBITDA payback from IRR cash flow after lifecycle reserve</t>
  </si>
  <si>
    <t>CBA formulas visible</t>
  </si>
  <si>
    <t>Payback tied to EBITDA; IRR tied to net FCF</t>
  </si>
  <si>
    <t>Reserve supports O&amp;M</t>
  </si>
  <si>
    <t>Finance review</t>
  </si>
  <si>
    <t>Sensitivity block gives downside/base/upside tariff and availability context</t>
  </si>
  <si>
    <t>Scenario table in CBA</t>
  </si>
  <si>
    <t>Refreshable assumptions</t>
  </si>
  <si>
    <t>Escalate if IRR below 10%</t>
  </si>
  <si>
    <t>Quarterly review</t>
  </si>
  <si>
    <t>Quality detail</t>
  </si>
  <si>
    <t>As-built packs, FAT/SAT dossier, HAZOP/LOTO and validation evidence are controlled artifacts</t>
  </si>
  <si>
    <t>Document and validation registers include owners/dates</t>
  </si>
  <si>
    <t>No hidden unsourced hardcodes in calculations</t>
  </si>
  <si>
    <t>O&amp;M release uses evidence</t>
  </si>
  <si>
    <t>Quality gate</t>
  </si>
  <si>
    <t>Closeout</t>
  </si>
  <si>
    <t>Workbook now functions as cohesive PLM/Teamcenter-style delivery pack for underground power generation</t>
  </si>
  <si>
    <t>All primary sheets rebuilt and formatted</t>
  </si>
  <si>
    <t>Economic targets embedded</t>
  </si>
  <si>
    <t>Stage-gate and escalation explicit</t>
  </si>
  <si>
    <t>Ready for steering review</t>
  </si>
  <si>
    <t>Refresh instruction</t>
  </si>
  <si>
    <t>Update Teamcenter exports quarterly: documents, items, ECNs, station statuses, validation evidence, risks and economics</t>
  </si>
  <si>
    <t>Structured ranges ready for refresh</t>
  </si>
  <si>
    <t>Financial inputs centralized</t>
  </si>
  <si>
    <t>Operating count remains 11 unless status changes</t>
  </si>
  <si>
    <t>PLM refresh governance</t>
  </si>
  <si>
    <t>Open cadence</t>
  </si>
  <si>
    <t>Escalation rule</t>
  </si>
  <si>
    <t>Escalate if uptime &lt;96%, payback &gt;5 years, IRR &lt;10%, or critical ECN lacks approval</t>
  </si>
  <si>
    <t>Dashboard contains trigger fields</t>
  </si>
  <si>
    <t>CBA contains checks</t>
  </si>
  <si>
    <t>Operations owner assigned</t>
  </si>
  <si>
    <t>Monthly/quarterly cadence</t>
  </si>
  <si>
    <t>Final QA</t>
  </si>
  <si>
    <t>Workbook search/verification follows</t>
  </si>
  <si>
    <t>CBA and dashboard tie-outs included</t>
  </si>
  <si>
    <t>Formula checks are visible</t>
  </si>
  <si>
    <t>Release checklist</t>
  </si>
  <si>
    <t>No formula errors or visible external workbook formula links found after local formula rebuild; verify startup prompt on next open.</t>
  </si>
  <si>
    <t>DOCUMENT REGISTER — Reverse Pump Energy Recovery PLM</t>
  </si>
  <si>
    <t>EBOM → MBOM BASELINE — Pump-as-Turbine / Generator Skid</t>
  </si>
  <si>
    <t>VALIDATION &amp; RELEASE MANAGEMENT</t>
  </si>
  <si>
    <t>Portfolio rebuilt as PLM program covering  design, validation, commissioning and O&amp;M</t>
  </si>
  <si>
    <t xml:space="preserve">Change Log </t>
  </si>
  <si>
    <t>Dashboard Data</t>
  </si>
  <si>
    <t>MONTHLY PERFORMANCE DATA</t>
  </si>
  <si>
    <t>Month</t>
  </si>
  <si>
    <t>Revenue</t>
  </si>
  <si>
    <t>COGS</t>
  </si>
  <si>
    <t>Gross Profit</t>
  </si>
  <si>
    <t>Expenses</t>
  </si>
  <si>
    <t>Net Profit</t>
  </si>
  <si>
    <t>Revenue Target</t>
  </si>
  <si>
    <t>Customers</t>
  </si>
  <si>
    <t>Avg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</si>
  <si>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</si>
  <si>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</si>
  <si>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</si>
  <si>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</si>
  <si>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</si>
  <si>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</si>
  <si>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</si>
  <si>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</si>
  <si>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</si>
  <si>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</si>
  <si>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</si>
  <si>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</si>
  <si>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</si>
  <si>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EXPENSE BREAKDOWN</t>
  </si>
  <si>
    <t>Amount</t>
  </si>
  <si>
    <t>% of Total</t>
  </si>
  <si>
    <t>Salaries &amp; Wages</t>
  </si>
  <si>
    <t>Marketing &amp; Advertising</t>
  </si>
  <si>
    <t>Rent &amp; Facilities</t>
  </si>
  <si>
    <t>Technology &amp; Software</t>
  </si>
  <si>
    <t>Professional Services</t>
  </si>
  <si>
    <t>Travel &amp; Entertainment</t>
  </si>
  <si>
    <t>Other Operating</t>
  </si>
  <si>
    <t>REVENUE BY REGION</t>
  </si>
  <si>
    <t>Region</t>
  </si>
  <si>
    <t>RST-01</t>
  </si>
  <si>
    <t>RST-02</t>
  </si>
  <si>
    <t>RST-03</t>
  </si>
  <si>
    <t>RST-04</t>
  </si>
  <si>
    <t>Likelihood: Chance of risk</t>
  </si>
  <si>
    <t>Rare: Slim possibility of happening</t>
  </si>
  <si>
    <t>Unlikely: Could occur but remote</t>
  </si>
  <si>
    <t>Possible: Might happen</t>
  </si>
  <si>
    <t>Likely: Expected to occur</t>
  </si>
  <si>
    <t>Almost Certain: Expected regularly</t>
  </si>
  <si>
    <t>Risk Matrix</t>
  </si>
  <si>
    <t>Severity</t>
  </si>
  <si>
    <t>Severity: Impact on project</t>
  </si>
  <si>
    <t>Insignificant</t>
  </si>
  <si>
    <t>Minor</t>
  </si>
  <si>
    <t>Moderate</t>
  </si>
  <si>
    <t>Major</t>
  </si>
  <si>
    <t>Severe+K10:P21</t>
  </si>
  <si>
    <t>Insignificant: Not worth worry about</t>
  </si>
  <si>
    <t>Minor: Can cause delays or added costs</t>
  </si>
  <si>
    <t>Likelihood</t>
  </si>
  <si>
    <t>Almost Certain</t>
  </si>
  <si>
    <t>Moderate: Likely delays or costs</t>
  </si>
  <si>
    <t>Major: Possible failure</t>
  </si>
  <si>
    <t>Severe: Definite failure</t>
  </si>
  <si>
    <t>Risk Level: Setting Priority</t>
  </si>
  <si>
    <t>Likely</t>
  </si>
  <si>
    <t>Low: Not much risk</t>
  </si>
  <si>
    <t>Medium: Some risk</t>
  </si>
  <si>
    <t>High: Major risk</t>
  </si>
  <si>
    <t>Very High: Extreme risk</t>
  </si>
  <si>
    <t>Possible</t>
  </si>
  <si>
    <t>Unlikelyh</t>
  </si>
  <si>
    <t>Rare</t>
  </si>
  <si>
    <t xml:space="preserve">Project Risk </t>
  </si>
  <si>
    <t>Related Stakeholders</t>
  </si>
  <si>
    <t xml:space="preserve">EXECUTIVE REPORT — Full Lifecycle Delivery for Multi-Site Pressure Reducing &amp; Power Generation </t>
  </si>
  <si>
    <t>RISK MANAGEMENT + NPI ATTRITION - 14 candidate stations to 11 operating assets</t>
  </si>
  <si>
    <t>EXECUTIVE DASHBOARD: Multi-Site Pressure Reducing &amp; Power Generation PLM Portfolio</t>
  </si>
  <si>
    <t>COST-BENEFIT ANALYSIS: CAPEX, OPEX, ROI &amp; IRR</t>
  </si>
  <si>
    <t xml:space="preserve">PROJECT: Multi-Site Pressure Reducing &amp; Power Generation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</si>
</sst>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(&quot;$&quot;* #,##0_);_(&quot;$&quot;* \(#,##0\);_(&quot;$&quot;* &quot;-&quot;??_);_(@_)"/>
    <numFmt numFmtId="165" formatCode="yyyy\-mm\-dd"/>
    <numFmt numFmtId="166" formatCode="\$#,##0"/>
    <numFmt numFmtId="167" formatCode="0.0%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name val="MS Sans Serif"/>
    </font>
    <font>
      <sz val="10"/>
      <name val="Arial Unicode MS"/>
      <family val="2"/>
    </font>
    <font>
      <sz val="8"/>
      <name val="Arial Unicode MS"/>
      <family val="2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color rgb="FFFFFFFF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3864"/>
      <name val="Aptos"/>
    </font>
    <font>
      <b/>
      <sz val="12"/>
      <color rgb="FF1F3864"/>
      <name val="Aptos"/>
    </font>
    <font>
      <b/>
      <sz val="11"/>
      <color rgb="FFFFFFFF"/>
      <name val="Aptos"/>
    </font>
    <font>
      <sz val="11"/>
      <name val="Aptos"/>
    </font>
    <font>
      <sz val="11"/>
      <color rgb="FF0070C0"/>
      <name val="Aptos"/>
    </font>
    <font>
      <b/>
      <sz val="11"/>
      <color rgb="FF1F3864"/>
      <name val="Aptos"/>
    </font>
    <font>
      <b/>
      <sz val="11"/>
      <name val="Aptos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EB9C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F5496"/>
      </patternFill>
    </fill>
    <fill>
      <patternFill patternType="solid">
        <fgColor rgb="FFF2F7FB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5" fillId="2" borderId="0"/>
    <xf numFmtId="0" fontId="9" fillId="3" borderId="0" applyNumberFormat="0" applyBorder="0" applyAlignment="0" applyProtection="0"/>
  </cellStyleXfs>
  <cellXfs count="117">
    <xf numFmtId="0" fontId="0" fillId="0" borderId="0" xfId="0"/>
    <xf numFmtId="164" fontId="2" fillId="0" borderId="0" xfId="1" applyNumberFormat="1" applyFont="1" applyAlignment="1" applyProtection="1">
      <alignment wrapText="1"/>
    </xf>
    <xf numFmtId="164" fontId="0" fillId="0" borderId="0" xfId="1" applyNumberFormat="1" applyFont="1" applyFill="1" applyProtection="1"/>
    <xf numFmtId="164" fontId="0" fillId="0" borderId="0" xfId="1" applyNumberFormat="1" applyFont="1" applyProtection="1"/>
    <xf numFmtId="164" fontId="3" fillId="0" borderId="0" xfId="1" applyNumberFormat="1" applyFont="1" applyProtection="1"/>
    <xf numFmtId="0" fontId="6" fillId="2" borderId="0" xfId="3" applyFont="1" applyAlignment="1">
      <alignment vertical="center"/>
    </xf>
    <xf numFmtId="0" fontId="6" fillId="0" borderId="0" xfId="3" applyFont="1" applyFill="1" applyAlignment="1">
      <alignment vertical="center"/>
    </xf>
    <xf numFmtId="0" fontId="6" fillId="2" borderId="0" xfId="3" applyFont="1"/>
    <xf numFmtId="0" fontId="7" fillId="2" borderId="0" xfId="3" applyFont="1"/>
    <xf numFmtId="0" fontId="8" fillId="0" borderId="0" xfId="0" applyFont="1"/>
    <xf numFmtId="14" fontId="0" fillId="0" borderId="0" xfId="0" applyNumberFormat="1"/>
    <xf numFmtId="0" fontId="11" fillId="0" borderId="0" xfId="0" applyFont="1" applyAlignment="1">
      <alignment wrapText="1"/>
    </xf>
    <xf numFmtId="14" fontId="11" fillId="0" borderId="0" xfId="0" applyNumberFormat="1" applyFont="1" applyAlignment="1">
      <alignment wrapText="1"/>
    </xf>
    <xf numFmtId="0" fontId="10" fillId="4" borderId="0" xfId="0" applyFont="1" applyFill="1" applyAlignment="1">
      <alignment wrapText="1"/>
    </xf>
    <xf numFmtId="0" fontId="12" fillId="5" borderId="0" xfId="0" applyFont="1" applyFill="1" applyAlignment="1">
      <alignment horizontal="center" wrapText="1"/>
    </xf>
    <xf numFmtId="165" fontId="11" fillId="0" borderId="0" xfId="0" applyNumberFormat="1" applyFont="1" applyAlignment="1">
      <alignment wrapText="1"/>
    </xf>
    <xf numFmtId="9" fontId="0" fillId="0" borderId="0" xfId="0" applyNumberFormat="1"/>
    <xf numFmtId="0" fontId="15" fillId="4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7" fillId="7" borderId="0" xfId="0" applyFont="1" applyFill="1"/>
    <xf numFmtId="0" fontId="10" fillId="7" borderId="0" xfId="0" applyFont="1" applyFill="1" applyAlignment="1">
      <alignment wrapText="1"/>
    </xf>
    <xf numFmtId="0" fontId="18" fillId="7" borderId="0" xfId="0" applyFont="1" applyFill="1" applyAlignment="1">
      <alignment wrapText="1"/>
    </xf>
    <xf numFmtId="0" fontId="22" fillId="8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right" vertical="center"/>
    </xf>
    <xf numFmtId="166" fontId="23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166" fontId="24" fillId="9" borderId="1" xfId="0" applyNumberFormat="1" applyFont="1" applyFill="1" applyBorder="1" applyAlignment="1">
      <alignment horizontal="right" vertical="center"/>
    </xf>
    <xf numFmtId="166" fontId="23" fillId="9" borderId="1" xfId="0" applyNumberFormat="1" applyFont="1" applyFill="1" applyBorder="1" applyAlignment="1">
      <alignment horizontal="right" vertical="center"/>
    </xf>
    <xf numFmtId="0" fontId="24" fillId="9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right" vertical="center"/>
    </xf>
    <xf numFmtId="3" fontId="26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left" vertical="center"/>
    </xf>
    <xf numFmtId="167" fontId="23" fillId="0" borderId="1" xfId="0" applyNumberFormat="1" applyFont="1" applyBorder="1" applyAlignment="1">
      <alignment horizontal="center" vertical="center"/>
    </xf>
    <xf numFmtId="0" fontId="0" fillId="10" borderId="0" xfId="0" applyFill="1"/>
    <xf numFmtId="0" fontId="0" fillId="11" borderId="2" xfId="0" applyFill="1" applyBorder="1"/>
    <xf numFmtId="0" fontId="27" fillId="10" borderId="0" xfId="0" applyFont="1" applyFill="1"/>
    <xf numFmtId="0" fontId="19" fillId="0" borderId="3" xfId="0" applyFont="1" applyBorder="1"/>
    <xf numFmtId="0" fontId="0" fillId="0" borderId="4" xfId="0" applyBorder="1"/>
    <xf numFmtId="0" fontId="0" fillId="0" borderId="5" xfId="0" applyBorder="1"/>
    <xf numFmtId="0" fontId="0" fillId="10" borderId="2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165" fontId="11" fillId="17" borderId="0" xfId="0" applyNumberFormat="1" applyFont="1" applyFill="1" applyAlignment="1">
      <alignment wrapText="1"/>
    </xf>
    <xf numFmtId="0" fontId="11" fillId="17" borderId="0" xfId="0" applyFont="1" applyFill="1" applyAlignment="1">
      <alignment wrapText="1"/>
    </xf>
    <xf numFmtId="0" fontId="10" fillId="17" borderId="0" xfId="0" applyFont="1" applyFill="1" applyAlignment="1">
      <alignment wrapText="1"/>
    </xf>
    <xf numFmtId="0" fontId="0" fillId="17" borderId="0" xfId="0" applyFill="1"/>
    <xf numFmtId="0" fontId="32" fillId="6" borderId="0" xfId="0" applyFont="1" applyFill="1"/>
    <xf numFmtId="0" fontId="31" fillId="6" borderId="0" xfId="0" applyFont="1" applyFill="1"/>
    <xf numFmtId="0" fontId="29" fillId="0" borderId="0" xfId="0" applyFont="1"/>
    <xf numFmtId="0" fontId="33" fillId="13" borderId="0" xfId="0" applyFont="1" applyFill="1"/>
    <xf numFmtId="0" fontId="34" fillId="6" borderId="0" xfId="0" applyFont="1" applyFill="1"/>
    <xf numFmtId="0" fontId="35" fillId="18" borderId="0" xfId="0" applyFont="1" applyFill="1"/>
    <xf numFmtId="0" fontId="31" fillId="18" borderId="0" xfId="0" applyFont="1" applyFill="1"/>
    <xf numFmtId="0" fontId="10" fillId="18" borderId="0" xfId="0" applyFont="1" applyFill="1" applyAlignment="1">
      <alignment wrapText="1"/>
    </xf>
    <xf numFmtId="0" fontId="36" fillId="18" borderId="0" xfId="0" applyFont="1" applyFill="1" applyAlignment="1">
      <alignment wrapText="1"/>
    </xf>
    <xf numFmtId="0" fontId="28" fillId="6" borderId="0" xfId="0" applyFont="1" applyFill="1"/>
    <xf numFmtId="0" fontId="0" fillId="11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27" fillId="10" borderId="9" xfId="0" applyFont="1" applyFill="1" applyBorder="1" applyAlignment="1">
      <alignment horizontal="center" vertical="center"/>
    </xf>
    <xf numFmtId="0" fontId="27" fillId="10" borderId="10" xfId="0" applyFont="1" applyFill="1" applyBorder="1" applyAlignment="1">
      <alignment horizontal="center" vertical="center"/>
    </xf>
    <xf numFmtId="0" fontId="27" fillId="10" borderId="12" xfId="0" applyFont="1" applyFill="1" applyBorder="1" applyAlignment="1">
      <alignment horizontal="center" vertical="center"/>
    </xf>
    <xf numFmtId="0" fontId="27" fillId="10" borderId="13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0" fontId="28" fillId="12" borderId="9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/>
    </xf>
    <xf numFmtId="0" fontId="27" fillId="12" borderId="8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29" fillId="11" borderId="9" xfId="0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/>
    </xf>
    <xf numFmtId="0" fontId="27" fillId="11" borderId="6" xfId="0" applyFont="1" applyFill="1" applyBorder="1" applyAlignment="1">
      <alignment horizontal="center" vertical="center"/>
    </xf>
    <xf numFmtId="0" fontId="27" fillId="11" borderId="8" xfId="0" applyFont="1" applyFill="1" applyBorder="1" applyAlignment="1">
      <alignment horizontal="center" vertical="center"/>
    </xf>
    <xf numFmtId="0" fontId="28" fillId="12" borderId="14" xfId="0" applyFont="1" applyFill="1" applyBorder="1" applyAlignment="1">
      <alignment horizontal="center" vertical="center" textRotation="90"/>
    </xf>
    <xf numFmtId="0" fontId="30" fillId="12" borderId="15" xfId="0" applyFont="1" applyFill="1" applyBorder="1" applyAlignment="1">
      <alignment horizontal="center" vertical="center" textRotation="90"/>
    </xf>
    <xf numFmtId="0" fontId="30" fillId="12" borderId="16" xfId="0" applyFont="1" applyFill="1" applyBorder="1" applyAlignment="1">
      <alignment horizontal="center" vertical="center" textRotation="90"/>
    </xf>
    <xf numFmtId="0" fontId="0" fillId="11" borderId="14" xfId="0" applyFill="1" applyBorder="1" applyAlignment="1">
      <alignment horizontal="center" vertical="center" textRotation="90"/>
    </xf>
    <xf numFmtId="0" fontId="0" fillId="11" borderId="15" xfId="0" applyFill="1" applyBorder="1" applyAlignment="1">
      <alignment horizontal="center" vertical="center" textRotation="90"/>
    </xf>
    <xf numFmtId="0" fontId="0" fillId="11" borderId="16" xfId="0" applyFill="1" applyBorder="1" applyAlignment="1">
      <alignment horizontal="center" vertical="center" textRotation="90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20" fillId="0" borderId="0" xfId="0" applyFont="1" applyAlignment="1">
      <alignment vertical="top"/>
    </xf>
    <xf numFmtId="0" fontId="0" fillId="0" borderId="0" xfId="0"/>
    <xf numFmtId="0" fontId="21" fillId="0" borderId="0" xfId="0" applyFont="1" applyAlignment="1">
      <alignment vertical="top"/>
    </xf>
    <xf numFmtId="0" fontId="37" fillId="17" borderId="0" xfId="0" applyFont="1" applyFill="1" applyAlignment="1">
      <alignment horizontal="center" wrapText="1"/>
    </xf>
  </cellXfs>
  <cellStyles count="5">
    <cellStyle name="Currency" xfId="1" builtinId="4"/>
    <cellStyle name="Neutralny 2" xfId="4" xr:uid="{8C1A848D-CD4E-4786-928E-883909C6F6CC}"/>
    <cellStyle name="Normal" xfId="0" builtinId="0"/>
    <cellStyle name="Normal 2" xfId="2" xr:uid="{50D71335-506B-48EB-834D-29F9126037A5}"/>
    <cellStyle name="Normal_Bosch_Supplier_Quality_Manual_Appendix_08Nov2006" xfId="3" xr:uid="{CFC68DC6-4D00-436E-8557-8DCA872A9F24}"/>
  </cellStyles>
  <dxfs count="2">
    <dxf>
      <font>
        <color rgb="FF548235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ysClr val="windowText" lastClr="000000"/>
                </a:solidFill>
              </a:rPr>
              <a:t>Net Benefits and Return on Investment (ROI)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[1]Summary!$A$23</c:f>
              <c:strCache>
                <c:ptCount val="1"/>
                <c:pt idx="0">
                  <c:v>Cumulative NET benefits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1E-47EF-9446-D8843890BF3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1E-47EF-9446-D8843890BF3A}"/>
              </c:ext>
            </c:extLst>
          </c:dPt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[1]Summary!$B$23:$E$23</c:f>
              <c:numCache>
                <c:formatCode>General</c:formatCode>
                <c:ptCount val="4"/>
                <c:pt idx="0">
                  <c:v>0</c:v>
                </c:pt>
                <c:pt idx="1">
                  <c:v>2340000</c:v>
                </c:pt>
                <c:pt idx="2">
                  <c:v>2384000</c:v>
                </c:pt>
                <c:pt idx="3">
                  <c:v>1472000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1E-47EF-9446-D8843890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539664"/>
        <c:axId val="404536384"/>
      </c:barChart>
      <c:lineChart>
        <c:grouping val="standard"/>
        <c:varyColors val="0"/>
        <c:ser>
          <c:idx val="1"/>
          <c:order val="1"/>
          <c:tx>
            <c:strRef>
              <c:f>[1]Summary!$A$24</c:f>
              <c:strCache>
                <c:ptCount val="1"/>
                <c:pt idx="0">
                  <c:v>ROI: (bene-cost)/cost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[1]Summary!$B$24:$E$24</c:f>
              <c:numCache>
                <c:formatCode>General</c:formatCode>
                <c:ptCount val="4"/>
                <c:pt idx="0">
                  <c:v>0</c:v>
                </c:pt>
                <c:pt idx="1">
                  <c:v>0.9140625</c:v>
                </c:pt>
                <c:pt idx="2">
                  <c:v>1.4309723889555823</c:v>
                </c:pt>
                <c:pt idx="3">
                  <c:v>1.2266666666666666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1E-47EF-9446-D8843890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31464"/>
        <c:axId val="404535400"/>
      </c:lineChart>
      <c:catAx>
        <c:axId val="4045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36384"/>
        <c:crosses val="autoZero"/>
        <c:auto val="0"/>
        <c:lblAlgn val="ctr"/>
        <c:lblOffset val="100"/>
        <c:noMultiLvlLbl val="0"/>
      </c:catAx>
      <c:valAx>
        <c:axId val="40453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39664"/>
        <c:crosses val="autoZero"/>
        <c:crossBetween val="between"/>
      </c:valAx>
      <c:valAx>
        <c:axId val="4045354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31464"/>
        <c:crosses val="max"/>
        <c:crossBetween val="between"/>
      </c:valAx>
      <c:catAx>
        <c:axId val="4045314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04535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chemeClr val="tx1"/>
                </a:solidFill>
              </a:rPr>
              <a:t>Total Cost of Ownership (TCO)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[1]Summary!$A$5</c:f>
              <c:strCache>
                <c:ptCount val="1"/>
                <c:pt idx="0">
                  <c:v>Project Cost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[1]Summary!$B$5:$E$5</c:f>
              <c:numCache>
                <c:formatCode>General</c:formatCode>
                <c:ptCount val="4"/>
                <c:pt idx="0">
                  <c:v>0</c:v>
                </c:pt>
                <c:pt idx="1">
                  <c:v>2560000</c:v>
                </c:pt>
                <c:pt idx="2">
                  <c:v>1666000</c:v>
                </c:pt>
                <c:pt idx="3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3-4EC5-B0A1-CCA5D848EB08}"/>
            </c:ext>
          </c:extLst>
        </c:ser>
        <c:ser>
          <c:idx val="2"/>
          <c:order val="1"/>
          <c:tx>
            <c:strRef>
              <c:f>[1]Summary!$A$6</c:f>
              <c:strCache>
                <c:ptCount val="1"/>
                <c:pt idx="0">
                  <c:v>O&amp;M: FTE IT staff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3-4EC5-B0A1-CCA5D848EB08}"/>
            </c:ext>
          </c:extLst>
        </c:ser>
        <c:ser>
          <c:idx val="3"/>
          <c:order val="2"/>
          <c:tx>
            <c:strRef>
              <c:f>[1]Summary!$A$7</c:f>
              <c:strCache>
                <c:ptCount val="1"/>
                <c:pt idx="0">
                  <c:v>O&amp;M: FTE operations staff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13-4EC5-B0A1-CCA5D848EB08}"/>
            </c:ext>
          </c:extLst>
        </c:ser>
        <c:ser>
          <c:idx val="4"/>
          <c:order val="3"/>
          <c:tx>
            <c:strRef>
              <c:f>[1]Summary!$A$8</c:f>
              <c:strCache>
                <c:ptCount val="1"/>
                <c:pt idx="0">
                  <c:v>O&amp;M: Ops Contractors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13-4EC5-B0A1-CCA5D848EB08}"/>
            </c:ext>
          </c:extLst>
        </c:ser>
        <c:ser>
          <c:idx val="5"/>
          <c:order val="4"/>
          <c:tx>
            <c:strRef>
              <c:f>[1]Summary!$A$9</c:f>
              <c:strCache>
                <c:ptCount val="1"/>
                <c:pt idx="0">
                  <c:v>O&amp;M: IT Vendor Svcs.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[1]Summary!$B$9:$E$9</c:f>
              <c:numCache>
                <c:formatCode>General</c:formatCode>
                <c:ptCount val="4"/>
                <c:pt idx="0">
                  <c:v>8100000</c:v>
                </c:pt>
                <c:pt idx="1">
                  <c:v>3900000</c:v>
                </c:pt>
                <c:pt idx="2">
                  <c:v>5250000</c:v>
                </c:pt>
                <c:pt idx="3">
                  <c:v>6228000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13-4EC5-B0A1-CCA5D848EB08}"/>
            </c:ext>
          </c:extLst>
        </c:ser>
        <c:ser>
          <c:idx val="6"/>
          <c:order val="5"/>
          <c:tx>
            <c:strRef>
              <c:f>[1]Summary!$A$10</c:f>
              <c:strCache>
                <c:ptCount val="1"/>
                <c:pt idx="0">
                  <c:v>O&amp;M: SW &amp; Licenses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13-4EC5-B0A1-CCA5D848EB08}"/>
            </c:ext>
          </c:extLst>
        </c:ser>
        <c:ser>
          <c:idx val="7"/>
          <c:order val="6"/>
          <c:tx>
            <c:strRef>
              <c:f>[1]Summary!$A$11</c:f>
              <c:strCache>
                <c:ptCount val="1"/>
                <c:pt idx="0">
                  <c:v>O&amp;M: HW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13-4EC5-B0A1-CCA5D848EB08}"/>
            </c:ext>
          </c:extLst>
        </c:ser>
        <c:ser>
          <c:idx val="8"/>
          <c:order val="7"/>
          <c:tx>
            <c:strRef>
              <c:f>[1]Summary!$A$12</c:f>
              <c:strCache>
                <c:ptCount val="1"/>
                <c:pt idx="0">
                  <c:v>O&amp;M: Maintenance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[1]Summary!$B$12:$E$12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13-4EC5-B0A1-CCA5D848EB08}"/>
            </c:ext>
          </c:extLst>
        </c:ser>
        <c:ser>
          <c:idx val="9"/>
          <c:order val="8"/>
          <c:tx>
            <c:strRef>
              <c:f>[1]Summary!$A$13</c:f>
              <c:strCache>
                <c:ptCount val="1"/>
                <c:pt idx="0">
                  <c:v>O&amp;M: Facilities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13-4EC5-B0A1-CCA5D848EB08}"/>
            </c:ext>
          </c:extLst>
        </c:ser>
        <c:ser>
          <c:idx val="10"/>
          <c:order val="9"/>
          <c:tx>
            <c:strRef>
              <c:f>[1]Summary!$A$14</c:f>
              <c:strCache>
                <c:ptCount val="1"/>
                <c:pt idx="0">
                  <c:v>O&amp;M: Telecomm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[1]Summary!$B$14:$E$14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13-4EC5-B0A1-CCA5D848EB08}"/>
            </c:ext>
          </c:extLst>
        </c:ser>
        <c:ser>
          <c:idx val="11"/>
          <c:order val="10"/>
          <c:tx>
            <c:strRef>
              <c:f>[1]Summary!$A$15</c:f>
              <c:strCache>
                <c:ptCount val="1"/>
                <c:pt idx="0">
                  <c:v>O&amp;M: Training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[1]Summary!$B$15:$E$15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13-4EC5-B0A1-CCA5D848EB08}"/>
            </c:ext>
          </c:extLst>
        </c:ser>
        <c:ser>
          <c:idx val="12"/>
          <c:order val="11"/>
          <c:tx>
            <c:strRef>
              <c:f>[1]Summary!$A$16</c:f>
              <c:strCache>
                <c:ptCount val="1"/>
                <c:pt idx="0">
                  <c:v>O&amp;M: Op Contingncy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413-4EC5-B0A1-CCA5D848EB08}"/>
            </c:ext>
          </c:extLst>
        </c:ser>
        <c:ser>
          <c:idx val="13"/>
          <c:order val="12"/>
          <c:tx>
            <c:strRef>
              <c:f>[1]Summary!$A$17</c:f>
              <c:strCache>
                <c:ptCount val="1"/>
                <c:pt idx="0">
                  <c:v>O&amp;M: Misc Ops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13-4EC5-B0A1-CCA5D848EB08}"/>
            </c:ext>
          </c:extLst>
        </c:ser>
        <c:ser>
          <c:idx val="14"/>
          <c:order val="13"/>
          <c:tx>
            <c:strRef>
              <c:f>[1]Summary!$A$18</c:f>
              <c:strCache>
                <c:ptCount val="1"/>
                <c:pt idx="0">
                  <c:v>Total O&amp;M Cost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413-4EC5-B0A1-CCA5D848EB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13-4EC5-B0A1-CCA5D848EB0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413-4EC5-B0A1-CCA5D848EB08}"/>
              </c:ext>
            </c:extLst>
          </c:dPt>
          <c:cat>
            <c:strRef>
              <c:f>[1]Summary!$B$4:$E$4</c:f>
              <c:strCache>
                <c:ptCount val="4"/>
                <c:pt idx="0">
                  <c:v>Do Nothing</c:v>
                </c:pt>
                <c:pt idx="1">
                  <c:v>Alt 1:</c:v>
                </c:pt>
                <c:pt idx="2">
                  <c:v>Alt 2:</c:v>
                </c:pt>
                <c:pt idx="3">
                  <c:v>Alt 3:</c:v>
                </c:pt>
              </c:strCache>
            </c:strRef>
          </c:cat>
          <c:val>
            <c:numRef>
              <c:f>[1]Summary!$B$18:$E$18</c:f>
              <c:numCache>
                <c:formatCode>General</c:formatCode>
                <c:ptCount val="4"/>
                <c:pt idx="0">
                  <c:v>8100000</c:v>
                </c:pt>
                <c:pt idx="1">
                  <c:v>3900000</c:v>
                </c:pt>
                <c:pt idx="2">
                  <c:v>5250000</c:v>
                </c:pt>
                <c:pt idx="3">
                  <c:v>6228000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413-4EC5-B0A1-CCA5D848E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1667376"/>
        <c:axId val="401664424"/>
      </c:barChart>
      <c:catAx>
        <c:axId val="40166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64424"/>
        <c:crosses val="autoZero"/>
        <c:auto val="1"/>
        <c:lblAlgn val="ctr"/>
        <c:lblOffset val="100"/>
        <c:noMultiLvlLbl val="0"/>
      </c:catAx>
      <c:valAx>
        <c:axId val="40166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6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</xdr:row>
          <xdr:rowOff>19050</xdr:rowOff>
        </xdr:from>
        <xdr:to>
          <xdr:col>13</xdr:col>
          <xdr:colOff>342900</xdr:colOff>
          <xdr:row>1</xdr:row>
          <xdr:rowOff>238125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3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</xdr:row>
          <xdr:rowOff>19050</xdr:rowOff>
        </xdr:from>
        <xdr:to>
          <xdr:col>13</xdr:col>
          <xdr:colOff>342900</xdr:colOff>
          <xdr:row>2</xdr:row>
          <xdr:rowOff>161925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3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0</xdr:row>
          <xdr:rowOff>19050</xdr:rowOff>
        </xdr:from>
        <xdr:to>
          <xdr:col>13</xdr:col>
          <xdr:colOff>342900</xdr:colOff>
          <xdr:row>0</xdr:row>
          <xdr:rowOff>161925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3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1714500</xdr:colOff>
      <xdr:row>26</xdr:row>
      <xdr:rowOff>152399</xdr:rowOff>
    </xdr:from>
    <xdr:to>
      <xdr:col>5</xdr:col>
      <xdr:colOff>1590675</xdr:colOff>
      <xdr:row>54</xdr:row>
      <xdr:rowOff>34018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5DE74-24B3-4E90-9801-8D7BCC1F8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142876</xdr:colOff>
      <xdr:row>1</xdr:row>
      <xdr:rowOff>152399</xdr:rowOff>
    </xdr:from>
    <xdr:to>
      <xdr:col>14</xdr:col>
      <xdr:colOff>95250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C8396-B250-459F-8A1E-04116EA3F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hrnia\Desktop\Job\AtlasCopco\Business%20Analysis%20Project%20and%20Stakeholder%20Management\Excel_PLM\CBA-Excel-Example.xlsx" TargetMode="External"/><Relationship Id="rId1" Type="http://schemas.openxmlformats.org/officeDocument/2006/relationships/externalLinkPath" Target="CBA-Excel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o Nothing"/>
      <sheetName val="Alt 1."/>
      <sheetName val="Alt 2."/>
      <sheetName val="Alt 3."/>
      <sheetName val="Instructions (read first)"/>
      <sheetName val="Example scenario"/>
    </sheetNames>
    <sheetDataSet>
      <sheetData sheetId="0">
        <row r="4">
          <cell r="B4" t="str">
            <v>Do Nothing</v>
          </cell>
          <cell r="C4" t="str">
            <v>Alt 1:</v>
          </cell>
          <cell r="D4" t="str">
            <v>Alt 2:</v>
          </cell>
          <cell r="E4" t="str">
            <v>Alt 3:</v>
          </cell>
        </row>
        <row r="5">
          <cell r="A5" t="str">
            <v>Project Cost</v>
          </cell>
          <cell r="B5" t="str">
            <v>n/a</v>
          </cell>
          <cell r="C5">
            <v>2560000</v>
          </cell>
          <cell r="D5">
            <v>1666000</v>
          </cell>
          <cell r="E5">
            <v>1200000</v>
          </cell>
        </row>
        <row r="6">
          <cell r="A6" t="str">
            <v>O&amp;M: FTE IT staff</v>
          </cell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</row>
        <row r="7">
          <cell r="A7" t="str">
            <v>O&amp;M: FTE operations staff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A8" t="str">
            <v>O&amp;M: Ops Contractors</v>
          </cell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A9" t="str">
            <v>O&amp;M: IT Vendor Svcs.</v>
          </cell>
          <cell r="B9">
            <v>8100000</v>
          </cell>
          <cell r="C9">
            <v>3900000</v>
          </cell>
          <cell r="D9">
            <v>5250000</v>
          </cell>
          <cell r="E9">
            <v>6228000</v>
          </cell>
        </row>
        <row r="10">
          <cell r="A10" t="str">
            <v>O&amp;M: SW &amp; Licenses</v>
          </cell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A11" t="str">
            <v>O&amp;M: HW</v>
          </cell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</row>
        <row r="12">
          <cell r="A12" t="str">
            <v>O&amp;M: Maintenance</v>
          </cell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A13" t="str">
            <v>O&amp;M: Facilities</v>
          </cell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</row>
        <row r="14">
          <cell r="A14" t="str">
            <v>O&amp;M: Telecomm</v>
          </cell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A15" t="str">
            <v>O&amp;M: Training</v>
          </cell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</row>
        <row r="16">
          <cell r="A16" t="str">
            <v>O&amp;M: Op Contingncy</v>
          </cell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A17" t="str">
            <v>O&amp;M: Misc Ops</v>
          </cell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</row>
        <row r="18">
          <cell r="A18" t="str">
            <v>Total O&amp;M Cost</v>
          </cell>
          <cell r="B18">
            <v>8100000</v>
          </cell>
          <cell r="C18">
            <v>3900000</v>
          </cell>
          <cell r="D18">
            <v>5250000</v>
          </cell>
          <cell r="E18">
            <v>6228000</v>
          </cell>
        </row>
        <row r="23">
          <cell r="A23" t="str">
            <v>Cumulative NET benefits</v>
          </cell>
          <cell r="B23" t="str">
            <v>n/a</v>
          </cell>
          <cell r="C23">
            <v>2340000</v>
          </cell>
          <cell r="D23">
            <v>2384000</v>
          </cell>
          <cell r="E23">
            <v>1472000</v>
          </cell>
        </row>
        <row r="24">
          <cell r="A24" t="str">
            <v>ROI: (bene-cost)/cost</v>
          </cell>
          <cell r="B24">
            <v>0</v>
          </cell>
          <cell r="C24">
            <v>0.9140625</v>
          </cell>
          <cell r="D24">
            <v>1.4309723889555823</v>
          </cell>
          <cell r="E24">
            <v>1.2266666666666666</v>
          </cell>
        </row>
      </sheetData>
      <sheetData sheetId="1">
        <row r="4">
          <cell r="M4">
            <v>8100000</v>
          </cell>
        </row>
      </sheetData>
      <sheetData sheetId="2">
        <row r="16">
          <cell r="M16">
            <v>2560000</v>
          </cell>
        </row>
      </sheetData>
      <sheetData sheetId="3">
        <row r="16">
          <cell r="M16">
            <v>1666000</v>
          </cell>
        </row>
      </sheetData>
      <sheetData sheetId="4">
        <row r="16">
          <cell r="M16">
            <v>1200000</v>
          </cell>
        </row>
      </sheetData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93FCE9-10D6-467E-802D-50031612B04D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"/>
  <sheetViews>
    <sheetView showGridLines="0" workbookViewId="0">
      <selection activeCell="B7" sqref="B7"/>
    </sheetView>
  </sheetViews>
  <sheetFormatPr defaultRowHeight="15"/>
  <cols>
    <col min="1" max="1" width="72.42578125" bestFit="1" customWidth="1"/>
    <col min="2" max="2" width="44" bestFit="1" customWidth="1"/>
    <col min="3" max="3" width="17.28515625" bestFit="1" customWidth="1"/>
    <col min="4" max="4" width="27.5703125" bestFit="1" customWidth="1"/>
    <col min="5" max="5" width="17.85546875" customWidth="1"/>
    <col min="6" max="6" width="9.85546875" bestFit="1" customWidth="1"/>
    <col min="7" max="7" width="8" bestFit="1" customWidth="1"/>
    <col min="8" max="8" width="9.85546875" bestFit="1" customWidth="1"/>
  </cols>
  <sheetData>
    <row r="1" spans="1:26" ht="37.5">
      <c r="A1" s="13" t="s">
        <v>1042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9">
      <c r="A2" s="11" t="s">
        <v>79</v>
      </c>
      <c r="B2" s="11" t="s">
        <v>80</v>
      </c>
      <c r="C2" s="11" t="s">
        <v>81</v>
      </c>
      <c r="D2" s="11" t="s">
        <v>82</v>
      </c>
      <c r="E2" s="11" t="s">
        <v>83</v>
      </c>
      <c r="F2" s="12">
        <v>42268</v>
      </c>
      <c r="G2" s="11" t="s">
        <v>32</v>
      </c>
      <c r="H2" s="11" t="s">
        <v>84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51.75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6.25">
      <c r="A5" s="14" t="s">
        <v>91</v>
      </c>
      <c r="B5" s="14" t="s">
        <v>1</v>
      </c>
      <c r="C5" s="14" t="s">
        <v>92</v>
      </c>
      <c r="D5" s="14" t="s">
        <v>93</v>
      </c>
      <c r="E5" s="14" t="s">
        <v>94</v>
      </c>
      <c r="F5" s="14" t="s">
        <v>32</v>
      </c>
      <c r="G5" s="14" t="s">
        <v>95</v>
      </c>
      <c r="H5" s="14" t="s">
        <v>96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64.5">
      <c r="A6" s="11" t="s">
        <v>97</v>
      </c>
      <c r="B6" s="11" t="s">
        <v>3</v>
      </c>
      <c r="C6" s="11" t="s">
        <v>98</v>
      </c>
      <c r="D6" s="11" t="s">
        <v>99</v>
      </c>
      <c r="E6" s="11" t="s">
        <v>100</v>
      </c>
      <c r="F6" s="11" t="s">
        <v>27</v>
      </c>
      <c r="G6" s="11" t="s">
        <v>51</v>
      </c>
      <c r="H6" s="15">
        <v>40983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51.75">
      <c r="A7" s="11" t="s">
        <v>101</v>
      </c>
      <c r="B7" s="11" t="s">
        <v>52</v>
      </c>
      <c r="C7" s="11" t="s">
        <v>98</v>
      </c>
      <c r="D7" s="11" t="s">
        <v>102</v>
      </c>
      <c r="E7" s="11" t="s">
        <v>103</v>
      </c>
      <c r="F7" s="11" t="s">
        <v>37</v>
      </c>
      <c r="G7" s="11" t="s">
        <v>51</v>
      </c>
      <c r="H7" s="15">
        <v>41151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9">
      <c r="A8" s="11" t="s">
        <v>104</v>
      </c>
      <c r="B8" s="11" t="s">
        <v>50</v>
      </c>
      <c r="C8" s="11" t="s">
        <v>98</v>
      </c>
      <c r="D8" s="11" t="s">
        <v>105</v>
      </c>
      <c r="E8" s="11" t="s">
        <v>106</v>
      </c>
      <c r="F8" s="11" t="s">
        <v>70</v>
      </c>
      <c r="G8" s="11" t="s">
        <v>51</v>
      </c>
      <c r="H8" s="15">
        <v>41263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64.5">
      <c r="A9" s="11" t="s">
        <v>107</v>
      </c>
      <c r="B9" s="11" t="s">
        <v>3</v>
      </c>
      <c r="C9" s="11" t="s">
        <v>23</v>
      </c>
      <c r="D9" s="11" t="s">
        <v>108</v>
      </c>
      <c r="E9" s="11" t="s">
        <v>109</v>
      </c>
      <c r="F9" s="11" t="s">
        <v>110</v>
      </c>
      <c r="G9" s="11" t="s">
        <v>51</v>
      </c>
      <c r="H9" s="15">
        <v>41382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51.75">
      <c r="A10" s="11" t="s">
        <v>111</v>
      </c>
      <c r="B10" s="11" t="s">
        <v>52</v>
      </c>
      <c r="C10" s="11" t="s">
        <v>23</v>
      </c>
      <c r="D10" s="11" t="s">
        <v>112</v>
      </c>
      <c r="E10" s="11" t="s">
        <v>113</v>
      </c>
      <c r="F10" s="11" t="s">
        <v>53</v>
      </c>
      <c r="G10" s="11" t="s">
        <v>51</v>
      </c>
      <c r="H10" s="15">
        <v>41600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51.75">
      <c r="A11" s="11" t="s">
        <v>114</v>
      </c>
      <c r="B11" s="11" t="s">
        <v>52</v>
      </c>
      <c r="C11" s="11" t="s">
        <v>23</v>
      </c>
      <c r="D11" s="11" t="s">
        <v>115</v>
      </c>
      <c r="E11" s="11" t="s">
        <v>116</v>
      </c>
      <c r="F11" s="11" t="s">
        <v>110</v>
      </c>
      <c r="G11" s="11" t="s">
        <v>51</v>
      </c>
      <c r="H11" s="15">
        <v>41684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51.75">
      <c r="A12" s="11" t="s">
        <v>117</v>
      </c>
      <c r="B12" s="11" t="s">
        <v>50</v>
      </c>
      <c r="C12" s="11" t="s">
        <v>23</v>
      </c>
      <c r="D12" s="11" t="s">
        <v>118</v>
      </c>
      <c r="E12" s="11" t="s">
        <v>119</v>
      </c>
      <c r="F12" s="11" t="s">
        <v>78</v>
      </c>
      <c r="G12" s="11" t="s">
        <v>51</v>
      </c>
      <c r="H12" s="15">
        <v>41887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51.75">
      <c r="A13" s="11" t="s">
        <v>120</v>
      </c>
      <c r="B13" s="11" t="s">
        <v>3</v>
      </c>
      <c r="C13" s="11" t="s">
        <v>121</v>
      </c>
      <c r="D13" s="11" t="s">
        <v>122</v>
      </c>
      <c r="E13" s="11" t="s">
        <v>123</v>
      </c>
      <c r="F13" s="11" t="s">
        <v>124</v>
      </c>
      <c r="G13" s="11" t="s">
        <v>51</v>
      </c>
      <c r="H13" s="15">
        <v>42027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51.75">
      <c r="A14" s="11" t="s">
        <v>125</v>
      </c>
      <c r="B14" s="11" t="s">
        <v>3</v>
      </c>
      <c r="C14" s="11" t="s">
        <v>121</v>
      </c>
      <c r="D14" s="11" t="s">
        <v>126</v>
      </c>
      <c r="E14" s="11" t="s">
        <v>127</v>
      </c>
      <c r="F14" s="11" t="s">
        <v>55</v>
      </c>
      <c r="G14" s="11" t="s">
        <v>51</v>
      </c>
      <c r="H14" s="15">
        <v>42153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51.75">
      <c r="A15" s="11" t="s">
        <v>128</v>
      </c>
      <c r="B15" s="11" t="s">
        <v>52</v>
      </c>
      <c r="C15" s="11" t="s">
        <v>121</v>
      </c>
      <c r="D15" s="11" t="s">
        <v>129</v>
      </c>
      <c r="E15" s="11" t="s">
        <v>130</v>
      </c>
      <c r="F15" s="11" t="s">
        <v>27</v>
      </c>
      <c r="G15" s="11" t="s">
        <v>51</v>
      </c>
      <c r="H15" s="15">
        <v>42277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51.75">
      <c r="A16" s="11" t="s">
        <v>131</v>
      </c>
      <c r="B16" s="11" t="s">
        <v>3</v>
      </c>
      <c r="C16" s="11" t="s">
        <v>24</v>
      </c>
      <c r="D16" s="11" t="s">
        <v>132</v>
      </c>
      <c r="E16" s="11" t="s">
        <v>133</v>
      </c>
      <c r="F16" s="11" t="s">
        <v>24</v>
      </c>
      <c r="G16" s="11" t="s">
        <v>51</v>
      </c>
      <c r="H16" s="15">
        <v>42419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51.75">
      <c r="A17" s="11" t="s">
        <v>134</v>
      </c>
      <c r="B17" s="11" t="s">
        <v>3</v>
      </c>
      <c r="C17" s="11" t="s">
        <v>24</v>
      </c>
      <c r="D17" s="11" t="s">
        <v>135</v>
      </c>
      <c r="E17" s="11" t="s">
        <v>136</v>
      </c>
      <c r="F17" s="11" t="s">
        <v>137</v>
      </c>
      <c r="G17" s="11" t="s">
        <v>51</v>
      </c>
      <c r="H17" s="15">
        <v>42579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51.75">
      <c r="A18" s="11" t="s">
        <v>138</v>
      </c>
      <c r="B18" s="11" t="s">
        <v>3</v>
      </c>
      <c r="C18" s="11" t="s">
        <v>77</v>
      </c>
      <c r="D18" s="11" t="s">
        <v>139</v>
      </c>
      <c r="E18" s="11" t="s">
        <v>140</v>
      </c>
      <c r="F18" s="11" t="s">
        <v>77</v>
      </c>
      <c r="G18" s="11" t="s">
        <v>51</v>
      </c>
      <c r="H18" s="15">
        <v>42766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64.5">
      <c r="A19" s="11" t="s">
        <v>141</v>
      </c>
      <c r="B19" s="11" t="s">
        <v>52</v>
      </c>
      <c r="C19" s="11" t="s">
        <v>77</v>
      </c>
      <c r="D19" s="11" t="s">
        <v>142</v>
      </c>
      <c r="E19" s="11" t="s">
        <v>143</v>
      </c>
      <c r="F19" s="11" t="s">
        <v>47</v>
      </c>
      <c r="G19" s="11" t="s">
        <v>51</v>
      </c>
      <c r="H19" s="15">
        <v>43280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51.75">
      <c r="A20" s="11" t="s">
        <v>144</v>
      </c>
      <c r="B20" s="11" t="s">
        <v>3</v>
      </c>
      <c r="C20" s="11" t="s">
        <v>77</v>
      </c>
      <c r="D20" s="11" t="s">
        <v>145</v>
      </c>
      <c r="E20" s="11" t="s">
        <v>146</v>
      </c>
      <c r="F20" s="11" t="s">
        <v>147</v>
      </c>
      <c r="G20" s="11" t="s">
        <v>51</v>
      </c>
      <c r="H20" s="15">
        <v>43546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51.75">
      <c r="A21" s="11" t="s">
        <v>148</v>
      </c>
      <c r="B21" s="11" t="s">
        <v>50</v>
      </c>
      <c r="C21" s="11" t="s">
        <v>77</v>
      </c>
      <c r="D21" s="11" t="s">
        <v>149</v>
      </c>
      <c r="E21" s="11" t="s">
        <v>150</v>
      </c>
      <c r="F21" s="11" t="s">
        <v>27</v>
      </c>
      <c r="G21" s="11" t="s">
        <v>51</v>
      </c>
      <c r="H21" s="15">
        <v>44183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9">
      <c r="A22" s="11" t="s">
        <v>151</v>
      </c>
      <c r="B22" s="11" t="s">
        <v>52</v>
      </c>
      <c r="C22" s="11" t="s">
        <v>77</v>
      </c>
      <c r="D22" s="11" t="s">
        <v>152</v>
      </c>
      <c r="E22" s="11" t="s">
        <v>153</v>
      </c>
      <c r="F22" s="11" t="s">
        <v>70</v>
      </c>
      <c r="G22" s="11" t="s">
        <v>51</v>
      </c>
      <c r="H22" s="15">
        <v>45240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51.75">
      <c r="A23" s="11" t="s">
        <v>154</v>
      </c>
      <c r="B23" s="11" t="s">
        <v>3</v>
      </c>
      <c r="C23" s="11" t="s">
        <v>77</v>
      </c>
      <c r="D23" s="11" t="s">
        <v>155</v>
      </c>
      <c r="E23" s="11" t="s">
        <v>156</v>
      </c>
      <c r="F23" s="11" t="s">
        <v>27</v>
      </c>
      <c r="G23" s="11" t="s">
        <v>51</v>
      </c>
      <c r="H23" s="15">
        <v>45569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51.75">
      <c r="A24" s="11" t="s">
        <v>157</v>
      </c>
      <c r="B24" s="11" t="s">
        <v>3</v>
      </c>
      <c r="C24" s="11" t="s">
        <v>77</v>
      </c>
      <c r="D24" s="11" t="s">
        <v>158</v>
      </c>
      <c r="E24" s="11" t="s">
        <v>159</v>
      </c>
      <c r="F24" s="11" t="s">
        <v>53</v>
      </c>
      <c r="G24" s="11" t="s">
        <v>51</v>
      </c>
      <c r="H24" s="15">
        <v>46183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6519-7835-4ED6-8828-476FACF948AD}">
  <dimension ref="A1:Z120"/>
  <sheetViews>
    <sheetView showGridLines="0" workbookViewId="0">
      <selection activeCell="A9" sqref="A9:A11"/>
    </sheetView>
  </sheetViews>
  <sheetFormatPr defaultRowHeight="15"/>
  <cols>
    <col min="1" max="1" width="92.5703125" bestFit="1" customWidth="1"/>
    <col min="2" max="2" width="3.85546875" bestFit="1" customWidth="1"/>
    <col min="3" max="3" width="22.42578125" bestFit="1" customWidth="1"/>
    <col min="4" max="4" width="12" customWidth="1"/>
    <col min="5" max="5" width="9.7109375" bestFit="1" customWidth="1"/>
    <col min="6" max="6" width="9" bestFit="1" customWidth="1"/>
    <col min="7" max="7" width="21" bestFit="1" customWidth="1"/>
    <col min="8" max="8" width="10.42578125" bestFit="1" customWidth="1"/>
    <col min="9" max="9" width="12.140625" bestFit="1" customWidth="1"/>
    <col min="10" max="10" width="7.5703125" bestFit="1" customWidth="1"/>
  </cols>
  <sheetData>
    <row r="1" spans="1:26" ht="18.75">
      <c r="A1" s="17" t="s">
        <v>1043</v>
      </c>
      <c r="B1" s="13"/>
      <c r="C1" s="13"/>
      <c r="D1" s="13"/>
      <c r="E1" s="13"/>
      <c r="F1" s="13"/>
      <c r="G1" s="13"/>
      <c r="H1" s="13"/>
      <c r="I1" s="13"/>
      <c r="J1" s="13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6.25">
      <c r="A3" s="14" t="s">
        <v>160</v>
      </c>
      <c r="B3" s="14" t="s">
        <v>161</v>
      </c>
      <c r="C3" s="14" t="s">
        <v>162</v>
      </c>
      <c r="D3" s="14" t="s">
        <v>163</v>
      </c>
      <c r="E3" s="14" t="s">
        <v>164</v>
      </c>
      <c r="F3" s="14" t="s">
        <v>165</v>
      </c>
      <c r="G3" s="14" t="s">
        <v>166</v>
      </c>
      <c r="H3" s="14" t="s">
        <v>167</v>
      </c>
      <c r="I3" s="14" t="s">
        <v>168</v>
      </c>
      <c r="J3" s="14" t="s">
        <v>169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 t="s">
        <v>170</v>
      </c>
      <c r="B4" s="11" t="s">
        <v>50</v>
      </c>
      <c r="C4" s="11" t="s">
        <v>171</v>
      </c>
      <c r="D4" s="11">
        <v>1</v>
      </c>
      <c r="E4" s="11">
        <v>1</v>
      </c>
      <c r="F4" s="11" t="s">
        <v>172</v>
      </c>
      <c r="G4" s="11" t="s">
        <v>173</v>
      </c>
      <c r="H4" s="11">
        <v>310</v>
      </c>
      <c r="I4" s="11" t="s">
        <v>51</v>
      </c>
      <c r="J4" s="11" t="s">
        <v>174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 t="s">
        <v>175</v>
      </c>
      <c r="B5" s="11" t="s">
        <v>52</v>
      </c>
      <c r="C5" s="11" t="s">
        <v>176</v>
      </c>
      <c r="D5" s="11">
        <v>1</v>
      </c>
      <c r="E5" s="11">
        <v>1</v>
      </c>
      <c r="F5" s="11" t="s">
        <v>172</v>
      </c>
      <c r="G5" s="11" t="s">
        <v>177</v>
      </c>
      <c r="H5" s="11">
        <v>185</v>
      </c>
      <c r="I5" s="11" t="s">
        <v>51</v>
      </c>
      <c r="J5" s="11" t="s">
        <v>178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 t="s">
        <v>179</v>
      </c>
      <c r="B6" s="11" t="s">
        <v>52</v>
      </c>
      <c r="C6" s="11" t="s">
        <v>180</v>
      </c>
      <c r="D6" s="11">
        <v>1</v>
      </c>
      <c r="E6" s="11">
        <v>1</v>
      </c>
      <c r="F6" s="11" t="s">
        <v>181</v>
      </c>
      <c r="G6" s="11" t="s">
        <v>182</v>
      </c>
      <c r="H6" s="11">
        <v>95</v>
      </c>
      <c r="I6" s="11" t="s">
        <v>51</v>
      </c>
      <c r="J6" s="11" t="s">
        <v>183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 t="s">
        <v>184</v>
      </c>
      <c r="B7" s="11" t="s">
        <v>50</v>
      </c>
      <c r="C7" s="11" t="s">
        <v>185</v>
      </c>
      <c r="D7" s="11">
        <v>3</v>
      </c>
      <c r="E7" s="11">
        <v>3</v>
      </c>
      <c r="F7" s="11" t="s">
        <v>172</v>
      </c>
      <c r="G7" s="11" t="s">
        <v>186</v>
      </c>
      <c r="H7" s="11">
        <v>72</v>
      </c>
      <c r="I7" s="11" t="s">
        <v>51</v>
      </c>
      <c r="J7" s="11" t="s">
        <v>187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 t="s">
        <v>188</v>
      </c>
      <c r="B8" s="11" t="s">
        <v>50</v>
      </c>
      <c r="C8" s="11" t="s">
        <v>189</v>
      </c>
      <c r="D8" s="11">
        <v>6</v>
      </c>
      <c r="E8" s="11">
        <v>7</v>
      </c>
      <c r="F8" s="11" t="s">
        <v>181</v>
      </c>
      <c r="G8" s="11" t="s">
        <v>182</v>
      </c>
      <c r="H8" s="11">
        <v>54</v>
      </c>
      <c r="I8" s="11" t="s">
        <v>51</v>
      </c>
      <c r="J8" s="11" t="s">
        <v>183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 t="s">
        <v>190</v>
      </c>
      <c r="B9" s="11" t="s">
        <v>52</v>
      </c>
      <c r="C9" s="11" t="s">
        <v>191</v>
      </c>
      <c r="D9" s="11">
        <v>1</v>
      </c>
      <c r="E9" s="11">
        <v>1</v>
      </c>
      <c r="F9" s="11" t="s">
        <v>172</v>
      </c>
      <c r="G9" s="11" t="s">
        <v>192</v>
      </c>
      <c r="H9" s="11">
        <v>140</v>
      </c>
      <c r="I9" s="11" t="s">
        <v>51</v>
      </c>
      <c r="J9" s="11" t="s">
        <v>178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1" t="s">
        <v>193</v>
      </c>
      <c r="B10" s="11" t="s">
        <v>52</v>
      </c>
      <c r="C10" s="11" t="s">
        <v>194</v>
      </c>
      <c r="D10" s="11">
        <v>1</v>
      </c>
      <c r="E10" s="11">
        <v>1</v>
      </c>
      <c r="F10" s="11" t="s">
        <v>172</v>
      </c>
      <c r="G10" s="11" t="s">
        <v>195</v>
      </c>
      <c r="H10" s="11">
        <v>38</v>
      </c>
      <c r="I10" s="11" t="s">
        <v>51</v>
      </c>
      <c r="J10" s="11" t="s">
        <v>178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 t="s">
        <v>196</v>
      </c>
      <c r="B11" s="11" t="s">
        <v>50</v>
      </c>
      <c r="C11" s="11" t="s">
        <v>197</v>
      </c>
      <c r="D11" s="11">
        <v>1</v>
      </c>
      <c r="E11" s="11">
        <v>1</v>
      </c>
      <c r="F11" s="11" t="s">
        <v>172</v>
      </c>
      <c r="G11" s="11" t="s">
        <v>198</v>
      </c>
      <c r="H11" s="11">
        <v>112</v>
      </c>
      <c r="I11" s="11" t="s">
        <v>51</v>
      </c>
      <c r="J11" s="11" t="s">
        <v>199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 t="s">
        <v>200</v>
      </c>
      <c r="B12" s="11" t="s">
        <v>52</v>
      </c>
      <c r="C12" s="11" t="s">
        <v>201</v>
      </c>
      <c r="D12" s="11">
        <v>1</v>
      </c>
      <c r="E12" s="11">
        <v>1</v>
      </c>
      <c r="F12" s="11" t="s">
        <v>172</v>
      </c>
      <c r="G12" s="11" t="s">
        <v>202</v>
      </c>
      <c r="H12" s="11">
        <v>24</v>
      </c>
      <c r="I12" s="11" t="s">
        <v>51</v>
      </c>
      <c r="J12" s="11" t="s">
        <v>199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1" t="s">
        <v>203</v>
      </c>
      <c r="B13" s="11" t="s">
        <v>3</v>
      </c>
      <c r="C13" s="11" t="s">
        <v>204</v>
      </c>
      <c r="D13" s="11">
        <v>1</v>
      </c>
      <c r="E13" s="11">
        <v>1</v>
      </c>
      <c r="F13" s="11" t="s">
        <v>172</v>
      </c>
      <c r="G13" s="11" t="s">
        <v>205</v>
      </c>
      <c r="H13" s="11">
        <v>78</v>
      </c>
      <c r="I13" s="11" t="s">
        <v>51</v>
      </c>
      <c r="J13" s="11" t="s">
        <v>206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1" t="s">
        <v>207</v>
      </c>
      <c r="B14" s="11" t="s">
        <v>52</v>
      </c>
      <c r="C14" s="11" t="s">
        <v>208</v>
      </c>
      <c r="D14" s="11">
        <v>1</v>
      </c>
      <c r="E14" s="11">
        <v>1</v>
      </c>
      <c r="F14" s="11" t="s">
        <v>172</v>
      </c>
      <c r="G14" s="11" t="s">
        <v>209</v>
      </c>
      <c r="H14" s="11">
        <v>31</v>
      </c>
      <c r="I14" s="11" t="s">
        <v>51</v>
      </c>
      <c r="J14" s="11" t="s">
        <v>210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 t="s">
        <v>211</v>
      </c>
      <c r="B15" s="11" t="s">
        <v>3</v>
      </c>
      <c r="C15" s="11" t="s">
        <v>212</v>
      </c>
      <c r="D15" s="11">
        <v>1</v>
      </c>
      <c r="E15" s="11">
        <v>1</v>
      </c>
      <c r="F15" s="11" t="s">
        <v>181</v>
      </c>
      <c r="G15" s="11" t="s">
        <v>213</v>
      </c>
      <c r="H15" s="11">
        <v>44</v>
      </c>
      <c r="I15" s="11" t="s">
        <v>51</v>
      </c>
      <c r="J15" s="11" t="s">
        <v>214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 t="s">
        <v>215</v>
      </c>
      <c r="B16" s="11" t="s">
        <v>3</v>
      </c>
      <c r="C16" s="11" t="s">
        <v>216</v>
      </c>
      <c r="D16" s="11">
        <v>1</v>
      </c>
      <c r="E16" s="11">
        <v>1</v>
      </c>
      <c r="F16" s="11" t="s">
        <v>217</v>
      </c>
      <c r="G16" s="11" t="s">
        <v>218</v>
      </c>
      <c r="H16" s="11">
        <v>65</v>
      </c>
      <c r="I16" s="11" t="s">
        <v>51</v>
      </c>
      <c r="J16" s="11" t="s">
        <v>219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 t="s">
        <v>220</v>
      </c>
      <c r="B17" s="11" t="s">
        <v>3</v>
      </c>
      <c r="C17" s="11" t="s">
        <v>221</v>
      </c>
      <c r="D17" s="11">
        <v>1</v>
      </c>
      <c r="E17" s="11">
        <v>1</v>
      </c>
      <c r="F17" s="11" t="s">
        <v>172</v>
      </c>
      <c r="G17" s="11" t="s">
        <v>222</v>
      </c>
      <c r="H17" s="11">
        <v>26</v>
      </c>
      <c r="I17" s="11" t="s">
        <v>51</v>
      </c>
      <c r="J17" s="11" t="s">
        <v>223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 t="s">
        <v>224</v>
      </c>
      <c r="B18" s="11" t="s">
        <v>3</v>
      </c>
      <c r="C18" s="11" t="s">
        <v>225</v>
      </c>
      <c r="D18" s="11">
        <v>1</v>
      </c>
      <c r="E18" s="11">
        <v>1</v>
      </c>
      <c r="F18" s="11" t="s">
        <v>181</v>
      </c>
      <c r="G18" s="11" t="s">
        <v>226</v>
      </c>
      <c r="H18" s="11">
        <v>18</v>
      </c>
      <c r="I18" s="11" t="s">
        <v>51</v>
      </c>
      <c r="J18" s="11" t="s">
        <v>227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 t="s">
        <v>228</v>
      </c>
      <c r="B19" s="11" t="s">
        <v>3</v>
      </c>
      <c r="C19" s="11" t="s">
        <v>229</v>
      </c>
      <c r="D19" s="11">
        <v>1</v>
      </c>
      <c r="E19" s="11">
        <v>1</v>
      </c>
      <c r="F19" s="11" t="s">
        <v>172</v>
      </c>
      <c r="G19" s="11" t="s">
        <v>198</v>
      </c>
      <c r="H19" s="11">
        <v>42</v>
      </c>
      <c r="I19" s="11" t="s">
        <v>51</v>
      </c>
      <c r="J19" s="11" t="s">
        <v>230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 t="s">
        <v>231</v>
      </c>
      <c r="B20" s="11" t="s">
        <v>52</v>
      </c>
      <c r="C20" s="11" t="s">
        <v>232</v>
      </c>
      <c r="D20" s="11">
        <v>1</v>
      </c>
      <c r="E20" s="11">
        <v>1</v>
      </c>
      <c r="F20" s="11" t="s">
        <v>172</v>
      </c>
      <c r="G20" s="11" t="s">
        <v>233</v>
      </c>
      <c r="H20" s="11">
        <v>29</v>
      </c>
      <c r="I20" s="11" t="s">
        <v>51</v>
      </c>
      <c r="J20" s="11" t="s">
        <v>234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 t="s">
        <v>235</v>
      </c>
      <c r="B21" s="11" t="s">
        <v>3</v>
      </c>
      <c r="C21" s="11" t="s">
        <v>236</v>
      </c>
      <c r="D21" s="11">
        <v>1</v>
      </c>
      <c r="E21" s="11">
        <v>1</v>
      </c>
      <c r="F21" s="11" t="s">
        <v>181</v>
      </c>
      <c r="G21" s="11" t="s">
        <v>213</v>
      </c>
      <c r="H21" s="11">
        <v>36</v>
      </c>
      <c r="I21" s="11" t="s">
        <v>51</v>
      </c>
      <c r="J21" s="11" t="s">
        <v>237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 t="s">
        <v>238</v>
      </c>
      <c r="B22" s="11" t="s">
        <v>3</v>
      </c>
      <c r="C22" s="11" t="s">
        <v>239</v>
      </c>
      <c r="D22" s="11">
        <v>1</v>
      </c>
      <c r="E22" s="11">
        <v>1</v>
      </c>
      <c r="F22" s="11" t="s">
        <v>172</v>
      </c>
      <c r="G22" s="11" t="s">
        <v>240</v>
      </c>
      <c r="H22" s="11">
        <v>22</v>
      </c>
      <c r="I22" s="11" t="s">
        <v>51</v>
      </c>
      <c r="J22" s="11" t="s">
        <v>241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 t="s">
        <v>242</v>
      </c>
      <c r="B23" s="11" t="s">
        <v>3</v>
      </c>
      <c r="C23" s="11" t="s">
        <v>243</v>
      </c>
      <c r="D23" s="11">
        <v>1</v>
      </c>
      <c r="E23" s="11">
        <v>1</v>
      </c>
      <c r="F23" s="11" t="s">
        <v>217</v>
      </c>
      <c r="G23" s="11" t="s">
        <v>28</v>
      </c>
      <c r="H23" s="11">
        <v>14</v>
      </c>
      <c r="I23" s="11" t="s">
        <v>51</v>
      </c>
      <c r="J23" s="11" t="s">
        <v>244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 t="s">
        <v>245</v>
      </c>
      <c r="B24" s="11" t="s">
        <v>3</v>
      </c>
      <c r="C24" s="11" t="s">
        <v>246</v>
      </c>
      <c r="D24" s="11">
        <v>1</v>
      </c>
      <c r="E24" s="11">
        <v>1</v>
      </c>
      <c r="F24" s="11" t="s">
        <v>217</v>
      </c>
      <c r="G24" s="11" t="s">
        <v>247</v>
      </c>
      <c r="H24" s="11">
        <v>30</v>
      </c>
      <c r="I24" s="11" t="s">
        <v>248</v>
      </c>
      <c r="J24" s="11" t="s">
        <v>249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 t="s">
        <v>250</v>
      </c>
      <c r="B25" s="11" t="s">
        <v>52</v>
      </c>
      <c r="C25" s="11" t="s">
        <v>251</v>
      </c>
      <c r="D25" s="11">
        <v>1</v>
      </c>
      <c r="E25" s="11">
        <v>1</v>
      </c>
      <c r="F25" s="11" t="s">
        <v>217</v>
      </c>
      <c r="G25" s="11" t="s">
        <v>252</v>
      </c>
      <c r="H25" s="11">
        <v>55</v>
      </c>
      <c r="I25" s="11" t="s">
        <v>51</v>
      </c>
      <c r="J25" s="11" t="s">
        <v>253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 t="s">
        <v>254</v>
      </c>
      <c r="B26" s="11" t="s">
        <v>52</v>
      </c>
      <c r="C26" s="11" t="s">
        <v>255</v>
      </c>
      <c r="D26" s="11">
        <v>1</v>
      </c>
      <c r="E26" s="11">
        <v>1</v>
      </c>
      <c r="F26" s="11" t="s">
        <v>217</v>
      </c>
      <c r="G26" s="11" t="s">
        <v>256</v>
      </c>
      <c r="H26" s="11">
        <v>48</v>
      </c>
      <c r="I26" s="11" t="s">
        <v>51</v>
      </c>
      <c r="J26" s="11" t="s">
        <v>257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 t="s">
        <v>258</v>
      </c>
      <c r="B27" s="11" t="s">
        <v>3</v>
      </c>
      <c r="C27" s="11" t="s">
        <v>259</v>
      </c>
      <c r="D27" s="11">
        <v>1</v>
      </c>
      <c r="E27" s="11">
        <v>1</v>
      </c>
      <c r="F27" s="11" t="s">
        <v>181</v>
      </c>
      <c r="G27" s="11" t="s">
        <v>7</v>
      </c>
      <c r="H27" s="11">
        <v>12</v>
      </c>
      <c r="I27" s="11" t="s">
        <v>51</v>
      </c>
      <c r="J27" s="11" t="s">
        <v>219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 t="s">
        <v>260</v>
      </c>
      <c r="B28" s="11" t="s">
        <v>3</v>
      </c>
      <c r="C28" s="11" t="s">
        <v>261</v>
      </c>
      <c r="D28" s="11">
        <v>1</v>
      </c>
      <c r="E28" s="11">
        <v>1</v>
      </c>
      <c r="F28" s="11" t="s">
        <v>217</v>
      </c>
      <c r="G28" s="11" t="s">
        <v>53</v>
      </c>
      <c r="H28" s="11">
        <v>16</v>
      </c>
      <c r="I28" s="11" t="s">
        <v>51</v>
      </c>
      <c r="J28" s="11" t="s">
        <v>262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4" t="s">
        <v>263</v>
      </c>
      <c r="D30" s="14" t="s">
        <v>264</v>
      </c>
      <c r="E30" s="14" t="s">
        <v>15</v>
      </c>
      <c r="F30" s="14" t="s">
        <v>8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9">
      <c r="A31" s="11"/>
      <c r="B31" s="11"/>
      <c r="C31" s="11" t="s">
        <v>265</v>
      </c>
      <c r="D31" s="11">
        <f>SUM(H4:H28)</f>
        <v>1596</v>
      </c>
      <c r="E31" s="11" t="s">
        <v>266</v>
      </c>
      <c r="F31" s="11" t="s">
        <v>267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64.5">
      <c r="A32" s="11"/>
      <c r="B32" s="11"/>
      <c r="C32" s="11" t="s">
        <v>268</v>
      </c>
      <c r="D32" s="11">
        <f>SUMPRODUCT(--(D4:D28&lt;&gt;E4:E28))</f>
        <v>1</v>
      </c>
      <c r="E32" s="11" t="s">
        <v>16</v>
      </c>
      <c r="F32" s="11" t="s">
        <v>269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</sheetData>
  <dataValidations count="2">
    <dataValidation type="custom" showInputMessage="1" showErrorMessage="1" error="Revision should be a single character, such as A, B, C, or use - if not applicable." prompt="Single character revision (A, B, C). Use - if not applicable." sqref="D121:D1048576" xr:uid="{961B9EFD-B55D-4899-B0BF-267DE17D4A1A}">
      <formula1>OR(EXACT(LEN(D121),1),D121="-")</formula1>
    </dataValidation>
    <dataValidation type="whole" operator="greaterThanOrEqual" showInputMessage="1" showErrorMessage="1" error="Quantity must be a non-negative whole number." prompt="Enter the quantity required per one top-level assembly." sqref="E121:E1048576" xr:uid="{B84D5C04-42F1-4719-9D39-39AB07329621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F703-44D7-428F-8FEE-D104F46ABDE2}">
  <dimension ref="A1:Z120"/>
  <sheetViews>
    <sheetView showGridLines="0" workbookViewId="0"/>
  </sheetViews>
  <sheetFormatPr defaultRowHeight="15"/>
  <cols>
    <col min="1" max="1" width="129.85546875" customWidth="1"/>
    <col min="2" max="2" width="9.85546875" bestFit="1" customWidth="1"/>
    <col min="3" max="3" width="14.28515625" bestFit="1" customWidth="1"/>
    <col min="5" max="5" width="13" customWidth="1"/>
    <col min="7" max="7" width="7.42578125" bestFit="1" customWidth="1"/>
    <col min="8" max="9" width="8.5703125" bestFit="1" customWidth="1"/>
    <col min="10" max="10" width="6.28515625" bestFit="1" customWidth="1"/>
    <col min="11" max="11" width="8.5703125" bestFit="1" customWidth="1"/>
    <col min="15" max="15" width="5.42578125" bestFit="1" customWidth="1"/>
    <col min="16" max="16" width="8.7109375" bestFit="1" customWidth="1"/>
  </cols>
  <sheetData>
    <row r="1" spans="1:26" ht="18.75">
      <c r="A1" s="21" t="s">
        <v>1046</v>
      </c>
      <c r="B1" s="49"/>
      <c r="C1" s="13"/>
      <c r="D1" s="20"/>
      <c r="E1" s="13"/>
      <c r="F1" s="13"/>
      <c r="G1" s="13"/>
      <c r="H1" s="13"/>
      <c r="I1" s="13"/>
      <c r="J1" s="13"/>
      <c r="K1" s="13"/>
      <c r="L1" s="13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9">
      <c r="A3" s="14" t="s">
        <v>270</v>
      </c>
      <c r="B3" s="14" t="s">
        <v>9</v>
      </c>
      <c r="C3" s="14" t="s">
        <v>92</v>
      </c>
      <c r="D3" s="14" t="s">
        <v>271</v>
      </c>
      <c r="E3" s="14" t="s">
        <v>0</v>
      </c>
      <c r="F3" s="14" t="s">
        <v>272</v>
      </c>
      <c r="G3" s="14" t="s">
        <v>6</v>
      </c>
      <c r="H3" s="14" t="s">
        <v>273</v>
      </c>
      <c r="I3" s="14" t="s">
        <v>274</v>
      </c>
      <c r="J3" s="14" t="s">
        <v>275</v>
      </c>
      <c r="K3" s="14" t="s">
        <v>276</v>
      </c>
      <c r="L3" s="14" t="s">
        <v>32</v>
      </c>
      <c r="M3" s="11"/>
      <c r="N3" s="14" t="s">
        <v>74</v>
      </c>
      <c r="O3" s="14" t="s">
        <v>18</v>
      </c>
      <c r="P3" s="14" t="s">
        <v>8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77.25">
      <c r="A4" s="11" t="s">
        <v>277</v>
      </c>
      <c r="B4" s="15">
        <v>40959</v>
      </c>
      <c r="C4" s="11" t="s">
        <v>98</v>
      </c>
      <c r="D4" s="11" t="s">
        <v>278</v>
      </c>
      <c r="E4" s="11" t="s">
        <v>279</v>
      </c>
      <c r="F4" s="11" t="s">
        <v>79</v>
      </c>
      <c r="G4" s="11" t="s">
        <v>11</v>
      </c>
      <c r="H4" s="11" t="s">
        <v>280</v>
      </c>
      <c r="I4" s="11">
        <v>45</v>
      </c>
      <c r="J4" s="11">
        <v>0</v>
      </c>
      <c r="K4" s="11" t="s">
        <v>26</v>
      </c>
      <c r="L4" s="11" t="s">
        <v>27</v>
      </c>
      <c r="M4" s="11"/>
      <c r="N4" s="11" t="s">
        <v>357</v>
      </c>
      <c r="O4" s="11">
        <f>COUNTA(A4:A27)</f>
        <v>24</v>
      </c>
      <c r="P4" s="11" t="s">
        <v>267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64.5">
      <c r="A5" s="11" t="s">
        <v>281</v>
      </c>
      <c r="B5" s="15">
        <v>41043</v>
      </c>
      <c r="C5" s="11" t="s">
        <v>98</v>
      </c>
      <c r="D5" s="11" t="s">
        <v>102</v>
      </c>
      <c r="E5" s="11" t="s">
        <v>282</v>
      </c>
      <c r="F5" s="11" t="s">
        <v>37</v>
      </c>
      <c r="G5" s="11" t="s">
        <v>10</v>
      </c>
      <c r="H5" s="11" t="s">
        <v>283</v>
      </c>
      <c r="I5" s="11">
        <v>120</v>
      </c>
      <c r="J5" s="11">
        <v>0</v>
      </c>
      <c r="K5" s="11" t="s">
        <v>26</v>
      </c>
      <c r="L5" s="11" t="s">
        <v>37</v>
      </c>
      <c r="M5" s="11"/>
      <c r="N5" s="11" t="s">
        <v>358</v>
      </c>
      <c r="O5" s="11">
        <f>COUNTIF(K4:K27,"Accepted")+COUNTIF(K4:K27,"Closed with lessons")+COUNTIF(K4:K27,"Rejected from scope")</f>
        <v>24</v>
      </c>
      <c r="P5" s="11" t="s">
        <v>267</v>
      </c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64.5">
      <c r="A6" s="11" t="s">
        <v>284</v>
      </c>
      <c r="B6" s="15">
        <v>41159</v>
      </c>
      <c r="C6" s="11" t="s">
        <v>98</v>
      </c>
      <c r="D6" s="11" t="s">
        <v>285</v>
      </c>
      <c r="E6" s="11" t="s">
        <v>286</v>
      </c>
      <c r="F6" s="11" t="s">
        <v>70</v>
      </c>
      <c r="G6" s="11" t="s">
        <v>11</v>
      </c>
      <c r="H6" s="11" t="s">
        <v>287</v>
      </c>
      <c r="I6" s="11">
        <v>0</v>
      </c>
      <c r="J6" s="11">
        <v>0</v>
      </c>
      <c r="K6" s="11" t="s">
        <v>26</v>
      </c>
      <c r="L6" s="11" t="s">
        <v>70</v>
      </c>
      <c r="M6" s="11"/>
      <c r="N6" s="11" t="s">
        <v>359</v>
      </c>
      <c r="O6" s="11">
        <f>COUNTIF(G4:G27,"Critical")</f>
        <v>8</v>
      </c>
      <c r="P6" s="11" t="s">
        <v>360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64.5">
      <c r="A7" s="11" t="s">
        <v>288</v>
      </c>
      <c r="B7" s="15">
        <v>41390</v>
      </c>
      <c r="C7" s="11" t="s">
        <v>23</v>
      </c>
      <c r="D7" s="11" t="s">
        <v>289</v>
      </c>
      <c r="E7" s="11" t="s">
        <v>290</v>
      </c>
      <c r="F7" s="11" t="s">
        <v>291</v>
      </c>
      <c r="G7" s="11" t="s">
        <v>12</v>
      </c>
      <c r="H7" s="11" t="s">
        <v>287</v>
      </c>
      <c r="I7" s="11">
        <v>10</v>
      </c>
      <c r="J7" s="11">
        <v>0</v>
      </c>
      <c r="K7" s="11" t="s">
        <v>26</v>
      </c>
      <c r="L7" s="11" t="s">
        <v>56</v>
      </c>
      <c r="M7" s="11"/>
      <c r="N7" s="11" t="s">
        <v>361</v>
      </c>
      <c r="O7" s="11">
        <f>SUM(I4:I27)</f>
        <v>945</v>
      </c>
      <c r="P7" s="11" t="s">
        <v>362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77.25">
      <c r="A8" s="11" t="s">
        <v>292</v>
      </c>
      <c r="B8" s="15">
        <v>41600</v>
      </c>
      <c r="C8" s="11" t="s">
        <v>23</v>
      </c>
      <c r="D8" s="11" t="s">
        <v>293</v>
      </c>
      <c r="E8" s="11" t="s">
        <v>294</v>
      </c>
      <c r="F8" s="11" t="s">
        <v>295</v>
      </c>
      <c r="G8" s="11" t="s">
        <v>11</v>
      </c>
      <c r="H8" s="11" t="s">
        <v>296</v>
      </c>
      <c r="I8" s="11">
        <v>85</v>
      </c>
      <c r="J8" s="11">
        <v>0</v>
      </c>
      <c r="K8" s="11" t="s">
        <v>26</v>
      </c>
      <c r="L8" s="11" t="s">
        <v>53</v>
      </c>
      <c r="M8" s="11"/>
      <c r="N8" s="11" t="s">
        <v>363</v>
      </c>
      <c r="O8" s="11">
        <f>SUM(J4:J27)</f>
        <v>78</v>
      </c>
      <c r="P8" s="11" t="s">
        <v>362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64.5">
      <c r="A9" s="11" t="s">
        <v>297</v>
      </c>
      <c r="B9" s="15">
        <v>41530</v>
      </c>
      <c r="C9" s="11" t="s">
        <v>23</v>
      </c>
      <c r="D9" s="11" t="s">
        <v>71</v>
      </c>
      <c r="E9" s="11" t="s">
        <v>298</v>
      </c>
      <c r="F9" s="11" t="s">
        <v>299</v>
      </c>
      <c r="G9" s="11" t="s">
        <v>10</v>
      </c>
      <c r="H9" s="11" t="s">
        <v>300</v>
      </c>
      <c r="I9" s="11">
        <v>0</v>
      </c>
      <c r="J9" s="11">
        <v>0</v>
      </c>
      <c r="K9" s="11" t="s">
        <v>301</v>
      </c>
      <c r="L9" s="11" t="s">
        <v>71</v>
      </c>
      <c r="M9" s="11"/>
      <c r="N9" s="11" t="s">
        <v>364</v>
      </c>
      <c r="O9" s="11">
        <v>0</v>
      </c>
      <c r="P9" s="11" t="s">
        <v>19</v>
      </c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64.5">
      <c r="A10" s="11" t="s">
        <v>302</v>
      </c>
      <c r="B10" s="15">
        <v>41673</v>
      </c>
      <c r="C10" s="11" t="s">
        <v>23</v>
      </c>
      <c r="D10" s="11" t="s">
        <v>303</v>
      </c>
      <c r="E10" s="11" t="s">
        <v>304</v>
      </c>
      <c r="F10" s="11" t="s">
        <v>39</v>
      </c>
      <c r="G10" s="11" t="s">
        <v>11</v>
      </c>
      <c r="H10" s="11" t="s">
        <v>305</v>
      </c>
      <c r="I10" s="11">
        <v>55</v>
      </c>
      <c r="J10" s="11">
        <v>8</v>
      </c>
      <c r="K10" s="11" t="s">
        <v>26</v>
      </c>
      <c r="L10" s="11" t="s">
        <v>39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90">
      <c r="A11" s="11" t="s">
        <v>306</v>
      </c>
      <c r="B11" s="15">
        <v>41814</v>
      </c>
      <c r="C11" s="11" t="s">
        <v>23</v>
      </c>
      <c r="D11" s="11" t="s">
        <v>55</v>
      </c>
      <c r="E11" s="11" t="s">
        <v>307</v>
      </c>
      <c r="F11" s="11" t="s">
        <v>55</v>
      </c>
      <c r="G11" s="11" t="s">
        <v>10</v>
      </c>
      <c r="H11" s="11" t="s">
        <v>308</v>
      </c>
      <c r="I11" s="11">
        <v>160</v>
      </c>
      <c r="J11" s="11">
        <v>5</v>
      </c>
      <c r="K11" s="11" t="s">
        <v>26</v>
      </c>
      <c r="L11" s="11" t="s">
        <v>55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77.25">
      <c r="A12" s="11" t="s">
        <v>309</v>
      </c>
      <c r="B12" s="15">
        <v>41925</v>
      </c>
      <c r="C12" s="11" t="s">
        <v>23</v>
      </c>
      <c r="D12" s="11" t="s">
        <v>102</v>
      </c>
      <c r="E12" s="11" t="s">
        <v>310</v>
      </c>
      <c r="F12" s="11" t="s">
        <v>226</v>
      </c>
      <c r="G12" s="11" t="s">
        <v>10</v>
      </c>
      <c r="H12" s="11" t="s">
        <v>300</v>
      </c>
      <c r="I12" s="11">
        <v>0</v>
      </c>
      <c r="J12" s="11">
        <v>0</v>
      </c>
      <c r="K12" s="11" t="s">
        <v>301</v>
      </c>
      <c r="L12" s="11" t="s">
        <v>137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77.25">
      <c r="A13" s="11" t="s">
        <v>311</v>
      </c>
      <c r="B13" s="15">
        <v>42027</v>
      </c>
      <c r="C13" s="11" t="s">
        <v>121</v>
      </c>
      <c r="D13" s="11" t="s">
        <v>122</v>
      </c>
      <c r="E13" s="11" t="s">
        <v>312</v>
      </c>
      <c r="F13" s="11" t="s">
        <v>124</v>
      </c>
      <c r="G13" s="11" t="s">
        <v>11</v>
      </c>
      <c r="H13" s="11" t="s">
        <v>313</v>
      </c>
      <c r="I13" s="11">
        <v>40</v>
      </c>
      <c r="J13" s="11">
        <v>3</v>
      </c>
      <c r="K13" s="11" t="s">
        <v>26</v>
      </c>
      <c r="L13" s="11" t="s">
        <v>124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77.25">
      <c r="A14" s="11" t="s">
        <v>314</v>
      </c>
      <c r="B14" s="15">
        <v>42153</v>
      </c>
      <c r="C14" s="11" t="s">
        <v>121</v>
      </c>
      <c r="D14" s="11" t="s">
        <v>56</v>
      </c>
      <c r="E14" s="11" t="s">
        <v>315</v>
      </c>
      <c r="F14" s="11" t="s">
        <v>56</v>
      </c>
      <c r="G14" s="11" t="s">
        <v>11</v>
      </c>
      <c r="H14" s="11" t="s">
        <v>313</v>
      </c>
      <c r="I14" s="11">
        <v>95</v>
      </c>
      <c r="J14" s="11">
        <v>12</v>
      </c>
      <c r="K14" s="11" t="s">
        <v>26</v>
      </c>
      <c r="L14" s="11" t="s">
        <v>56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90">
      <c r="A15" s="11" t="s">
        <v>316</v>
      </c>
      <c r="B15" s="15">
        <v>42277</v>
      </c>
      <c r="C15" s="11" t="s">
        <v>121</v>
      </c>
      <c r="D15" s="11" t="s">
        <v>317</v>
      </c>
      <c r="E15" s="11" t="s">
        <v>318</v>
      </c>
      <c r="F15" s="11" t="s">
        <v>319</v>
      </c>
      <c r="G15" s="11" t="s">
        <v>11</v>
      </c>
      <c r="H15" s="11" t="s">
        <v>320</v>
      </c>
      <c r="I15" s="11">
        <v>0</v>
      </c>
      <c r="J15" s="11">
        <v>0</v>
      </c>
      <c r="K15" s="11" t="s">
        <v>26</v>
      </c>
      <c r="L15" s="11" t="s">
        <v>27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64.5">
      <c r="A16" s="11" t="s">
        <v>321</v>
      </c>
      <c r="B16" s="15">
        <v>42419</v>
      </c>
      <c r="C16" s="11" t="s">
        <v>24</v>
      </c>
      <c r="D16" s="11" t="s">
        <v>78</v>
      </c>
      <c r="E16" s="11" t="s">
        <v>322</v>
      </c>
      <c r="F16" s="11" t="s">
        <v>78</v>
      </c>
      <c r="G16" s="11" t="s">
        <v>10</v>
      </c>
      <c r="H16" s="11" t="s">
        <v>296</v>
      </c>
      <c r="I16" s="11">
        <v>40</v>
      </c>
      <c r="J16" s="11">
        <v>4</v>
      </c>
      <c r="K16" s="11" t="s">
        <v>26</v>
      </c>
      <c r="L16" s="11" t="s">
        <v>78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77.25">
      <c r="A17" s="11" t="s">
        <v>323</v>
      </c>
      <c r="B17" s="15">
        <v>42579</v>
      </c>
      <c r="C17" s="11" t="s">
        <v>24</v>
      </c>
      <c r="D17" s="11" t="s">
        <v>34</v>
      </c>
      <c r="E17" s="11" t="s">
        <v>324</v>
      </c>
      <c r="F17" s="11" t="s">
        <v>34</v>
      </c>
      <c r="G17" s="11" t="s">
        <v>10</v>
      </c>
      <c r="H17" s="11" t="s">
        <v>325</v>
      </c>
      <c r="I17" s="11">
        <v>210</v>
      </c>
      <c r="J17" s="11">
        <v>0</v>
      </c>
      <c r="K17" s="11" t="s">
        <v>26</v>
      </c>
      <c r="L17" s="11" t="s">
        <v>34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64.5">
      <c r="A18" s="11" t="s">
        <v>326</v>
      </c>
      <c r="B18" s="15">
        <v>42766</v>
      </c>
      <c r="C18" s="11" t="s">
        <v>77</v>
      </c>
      <c r="D18" s="11" t="s">
        <v>327</v>
      </c>
      <c r="E18" s="11" t="s">
        <v>328</v>
      </c>
      <c r="F18" s="11" t="s">
        <v>77</v>
      </c>
      <c r="G18" s="11" t="s">
        <v>12</v>
      </c>
      <c r="H18" s="11" t="s">
        <v>329</v>
      </c>
      <c r="I18" s="11">
        <v>35</v>
      </c>
      <c r="J18" s="11">
        <v>18</v>
      </c>
      <c r="K18" s="11" t="s">
        <v>26</v>
      </c>
      <c r="L18" s="11" t="s">
        <v>77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90">
      <c r="A19" s="11" t="s">
        <v>330</v>
      </c>
      <c r="B19" s="15">
        <v>43280</v>
      </c>
      <c r="C19" s="11" t="s">
        <v>77</v>
      </c>
      <c r="D19" s="11" t="s">
        <v>331</v>
      </c>
      <c r="E19" s="11" t="s">
        <v>332</v>
      </c>
      <c r="F19" s="11" t="s">
        <v>47</v>
      </c>
      <c r="G19" s="11" t="s">
        <v>11</v>
      </c>
      <c r="H19" s="11" t="s">
        <v>287</v>
      </c>
      <c r="I19" s="11">
        <v>18</v>
      </c>
      <c r="J19" s="11">
        <v>7</v>
      </c>
      <c r="K19" s="11" t="s">
        <v>26</v>
      </c>
      <c r="L19" s="11" t="s">
        <v>47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90">
      <c r="A20" s="11" t="s">
        <v>333</v>
      </c>
      <c r="B20" s="15">
        <v>43546</v>
      </c>
      <c r="C20" s="11" t="s">
        <v>77</v>
      </c>
      <c r="D20" s="11" t="s">
        <v>334</v>
      </c>
      <c r="E20" s="11" t="s">
        <v>335</v>
      </c>
      <c r="F20" s="11" t="s">
        <v>147</v>
      </c>
      <c r="G20" s="11" t="s">
        <v>10</v>
      </c>
      <c r="H20" s="11" t="s">
        <v>300</v>
      </c>
      <c r="I20" s="11">
        <v>0</v>
      </c>
      <c r="J20" s="11">
        <v>-18</v>
      </c>
      <c r="K20" s="11" t="s">
        <v>336</v>
      </c>
      <c r="L20" s="11" t="s">
        <v>147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02.75">
      <c r="A21" s="11" t="s">
        <v>337</v>
      </c>
      <c r="B21" s="15">
        <v>44183</v>
      </c>
      <c r="C21" s="11" t="s">
        <v>77</v>
      </c>
      <c r="D21" s="11" t="s">
        <v>85</v>
      </c>
      <c r="E21" s="11" t="s">
        <v>338</v>
      </c>
      <c r="F21" s="11" t="s">
        <v>27</v>
      </c>
      <c r="G21" s="11" t="s">
        <v>11</v>
      </c>
      <c r="H21" s="11" t="s">
        <v>320</v>
      </c>
      <c r="I21" s="11">
        <v>0</v>
      </c>
      <c r="J21" s="11">
        <v>0</v>
      </c>
      <c r="K21" s="11" t="s">
        <v>26</v>
      </c>
      <c r="L21" s="11" t="s">
        <v>27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77.25">
      <c r="A22" s="11" t="s">
        <v>339</v>
      </c>
      <c r="B22" s="15">
        <v>44428</v>
      </c>
      <c r="C22" s="11" t="s">
        <v>77</v>
      </c>
      <c r="D22" s="11" t="s">
        <v>340</v>
      </c>
      <c r="E22" s="11" t="s">
        <v>341</v>
      </c>
      <c r="F22" s="11" t="s">
        <v>56</v>
      </c>
      <c r="G22" s="11" t="s">
        <v>12</v>
      </c>
      <c r="H22" s="11" t="s">
        <v>342</v>
      </c>
      <c r="I22" s="11">
        <v>12</v>
      </c>
      <c r="J22" s="11">
        <v>5</v>
      </c>
      <c r="K22" s="11" t="s">
        <v>26</v>
      </c>
      <c r="L22" s="11" t="s">
        <v>56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90">
      <c r="A23" s="11" t="s">
        <v>343</v>
      </c>
      <c r="B23" s="15">
        <v>44666</v>
      </c>
      <c r="C23" s="11" t="s">
        <v>77</v>
      </c>
      <c r="D23" s="11" t="s">
        <v>147</v>
      </c>
      <c r="E23" s="11" t="s">
        <v>344</v>
      </c>
      <c r="F23" s="11" t="s">
        <v>147</v>
      </c>
      <c r="G23" s="11" t="s">
        <v>11</v>
      </c>
      <c r="H23" s="11" t="s">
        <v>320</v>
      </c>
      <c r="I23" s="11">
        <v>20</v>
      </c>
      <c r="J23" s="11">
        <v>9</v>
      </c>
      <c r="K23" s="11" t="s">
        <v>26</v>
      </c>
      <c r="L23" s="11" t="s">
        <v>147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77.25">
      <c r="A24" s="11" t="s">
        <v>345</v>
      </c>
      <c r="B24" s="15">
        <v>45240</v>
      </c>
      <c r="C24" s="11" t="s">
        <v>77</v>
      </c>
      <c r="D24" s="11" t="s">
        <v>70</v>
      </c>
      <c r="E24" s="11" t="s">
        <v>346</v>
      </c>
      <c r="F24" s="11" t="s">
        <v>70</v>
      </c>
      <c r="G24" s="11" t="s">
        <v>11</v>
      </c>
      <c r="H24" s="11" t="s">
        <v>320</v>
      </c>
      <c r="I24" s="11">
        <v>0</v>
      </c>
      <c r="J24" s="11">
        <v>0</v>
      </c>
      <c r="K24" s="11" t="s">
        <v>26</v>
      </c>
      <c r="L24" s="11" t="s">
        <v>70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77.25">
      <c r="A25" s="11" t="s">
        <v>347</v>
      </c>
      <c r="B25" s="15">
        <v>45569</v>
      </c>
      <c r="C25" s="11" t="s">
        <v>77</v>
      </c>
      <c r="D25" s="11" t="s">
        <v>348</v>
      </c>
      <c r="E25" s="11" t="s">
        <v>349</v>
      </c>
      <c r="F25" s="11" t="s">
        <v>27</v>
      </c>
      <c r="G25" s="11" t="s">
        <v>11</v>
      </c>
      <c r="H25" s="11" t="s">
        <v>320</v>
      </c>
      <c r="I25" s="11">
        <v>0</v>
      </c>
      <c r="J25" s="11">
        <v>0</v>
      </c>
      <c r="K25" s="11" t="s">
        <v>26</v>
      </c>
      <c r="L25" s="11" t="s">
        <v>27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77.25">
      <c r="A26" s="11" t="s">
        <v>350</v>
      </c>
      <c r="B26" s="15">
        <v>45835</v>
      </c>
      <c r="C26" s="11" t="s">
        <v>77</v>
      </c>
      <c r="D26" s="11" t="s">
        <v>351</v>
      </c>
      <c r="E26" s="11" t="s">
        <v>352</v>
      </c>
      <c r="F26" s="11" t="s">
        <v>77</v>
      </c>
      <c r="G26" s="11" t="s">
        <v>12</v>
      </c>
      <c r="H26" s="11" t="s">
        <v>320</v>
      </c>
      <c r="I26" s="11">
        <v>0</v>
      </c>
      <c r="J26" s="11">
        <v>25</v>
      </c>
      <c r="K26" s="11" t="s">
        <v>26</v>
      </c>
      <c r="L26" s="11" t="s">
        <v>77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02.75">
      <c r="A27" s="11" t="s">
        <v>353</v>
      </c>
      <c r="B27" s="15">
        <v>46183</v>
      </c>
      <c r="C27" s="11" t="s">
        <v>77</v>
      </c>
      <c r="D27" s="11" t="s">
        <v>354</v>
      </c>
      <c r="E27" s="11" t="s">
        <v>355</v>
      </c>
      <c r="F27" s="11" t="s">
        <v>356</v>
      </c>
      <c r="G27" s="11" t="s">
        <v>10</v>
      </c>
      <c r="H27" s="11" t="s">
        <v>320</v>
      </c>
      <c r="I27" s="11">
        <v>0</v>
      </c>
      <c r="J27" s="11">
        <v>0</v>
      </c>
      <c r="K27" s="11" t="s">
        <v>26</v>
      </c>
      <c r="L27" s="11" t="s">
        <v>53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A0F3-53A4-4F87-A370-427BE69BB024}">
  <dimension ref="A1:Z120"/>
  <sheetViews>
    <sheetView showGridLines="0" workbookViewId="0">
      <selection activeCell="A15" sqref="A15"/>
    </sheetView>
  </sheetViews>
  <sheetFormatPr defaultRowHeight="12.75"/>
  <cols>
    <col min="1" max="1" width="131.7109375" style="7" customWidth="1"/>
    <col min="2" max="2" width="9.85546875" style="7" bestFit="1" customWidth="1"/>
    <col min="3" max="3" width="7.85546875" style="7" bestFit="1" customWidth="1"/>
    <col min="4" max="4" width="12.28515625" style="7" customWidth="1"/>
    <col min="5" max="5" width="12.140625" style="7" customWidth="1"/>
    <col min="6" max="6" width="33.28515625" style="7" customWidth="1"/>
    <col min="7" max="7" width="23.7109375" style="7" customWidth="1"/>
    <col min="8" max="8" width="9.140625" style="7"/>
    <col min="9" max="9" width="4.7109375" style="7" customWidth="1"/>
    <col min="10" max="10" width="13.85546875" style="7" customWidth="1"/>
    <col min="11" max="11" width="13" style="7" customWidth="1"/>
    <col min="12" max="12" width="4.7109375" style="7" customWidth="1"/>
    <col min="13" max="13" width="5.28515625" style="7" bestFit="1" customWidth="1"/>
    <col min="14" max="14" width="12" style="7" customWidth="1"/>
    <col min="15" max="15" width="8.5703125" style="7" bestFit="1" customWidth="1"/>
    <col min="16" max="16" width="8" style="7" bestFit="1" customWidth="1"/>
    <col min="17" max="17" width="7.7109375" style="7" bestFit="1" customWidth="1"/>
    <col min="18" max="256" width="9.140625" style="7"/>
    <col min="257" max="257" width="2.7109375" style="7" customWidth="1"/>
    <col min="258" max="258" width="18.7109375" style="7" customWidth="1"/>
    <col min="259" max="259" width="11.42578125" style="7" customWidth="1"/>
    <col min="260" max="262" width="9.140625" style="7"/>
    <col min="263" max="263" width="12.85546875" style="7" customWidth="1"/>
    <col min="264" max="264" width="9.140625" style="7"/>
    <col min="265" max="265" width="4.7109375" style="7" customWidth="1"/>
    <col min="266" max="266" width="9.140625" style="7"/>
    <col min="267" max="268" width="4.7109375" style="7" customWidth="1"/>
    <col min="269" max="269" width="9.140625" style="7"/>
    <col min="270" max="270" width="4.7109375" style="7" customWidth="1"/>
    <col min="271" max="271" width="9.5703125" style="7" customWidth="1"/>
    <col min="272" max="512" width="9.140625" style="7"/>
    <col min="513" max="513" width="2.7109375" style="7" customWidth="1"/>
    <col min="514" max="514" width="18.7109375" style="7" customWidth="1"/>
    <col min="515" max="515" width="11.42578125" style="7" customWidth="1"/>
    <col min="516" max="518" width="9.140625" style="7"/>
    <col min="519" max="519" width="12.85546875" style="7" customWidth="1"/>
    <col min="520" max="520" width="9.140625" style="7"/>
    <col min="521" max="521" width="4.7109375" style="7" customWidth="1"/>
    <col min="522" max="522" width="9.140625" style="7"/>
    <col min="523" max="524" width="4.7109375" style="7" customWidth="1"/>
    <col min="525" max="525" width="9.140625" style="7"/>
    <col min="526" max="526" width="4.7109375" style="7" customWidth="1"/>
    <col min="527" max="527" width="9.5703125" style="7" customWidth="1"/>
    <col min="528" max="768" width="9.140625" style="7"/>
    <col min="769" max="769" width="2.7109375" style="7" customWidth="1"/>
    <col min="770" max="770" width="18.7109375" style="7" customWidth="1"/>
    <col min="771" max="771" width="11.42578125" style="7" customWidth="1"/>
    <col min="772" max="774" width="9.140625" style="7"/>
    <col min="775" max="775" width="12.85546875" style="7" customWidth="1"/>
    <col min="776" max="776" width="9.140625" style="7"/>
    <col min="777" max="777" width="4.7109375" style="7" customWidth="1"/>
    <col min="778" max="778" width="9.140625" style="7"/>
    <col min="779" max="780" width="4.7109375" style="7" customWidth="1"/>
    <col min="781" max="781" width="9.140625" style="7"/>
    <col min="782" max="782" width="4.7109375" style="7" customWidth="1"/>
    <col min="783" max="783" width="9.5703125" style="7" customWidth="1"/>
    <col min="784" max="1024" width="9.140625" style="7"/>
    <col min="1025" max="1025" width="2.7109375" style="7" customWidth="1"/>
    <col min="1026" max="1026" width="18.7109375" style="7" customWidth="1"/>
    <col min="1027" max="1027" width="11.42578125" style="7" customWidth="1"/>
    <col min="1028" max="1030" width="9.140625" style="7"/>
    <col min="1031" max="1031" width="12.85546875" style="7" customWidth="1"/>
    <col min="1032" max="1032" width="9.140625" style="7"/>
    <col min="1033" max="1033" width="4.7109375" style="7" customWidth="1"/>
    <col min="1034" max="1034" width="9.140625" style="7"/>
    <col min="1035" max="1036" width="4.7109375" style="7" customWidth="1"/>
    <col min="1037" max="1037" width="9.140625" style="7"/>
    <col min="1038" max="1038" width="4.7109375" style="7" customWidth="1"/>
    <col min="1039" max="1039" width="9.5703125" style="7" customWidth="1"/>
    <col min="1040" max="1280" width="9.140625" style="7"/>
    <col min="1281" max="1281" width="2.7109375" style="7" customWidth="1"/>
    <col min="1282" max="1282" width="18.7109375" style="7" customWidth="1"/>
    <col min="1283" max="1283" width="11.42578125" style="7" customWidth="1"/>
    <col min="1284" max="1286" width="9.140625" style="7"/>
    <col min="1287" max="1287" width="12.85546875" style="7" customWidth="1"/>
    <col min="1288" max="1288" width="9.140625" style="7"/>
    <col min="1289" max="1289" width="4.7109375" style="7" customWidth="1"/>
    <col min="1290" max="1290" width="9.140625" style="7"/>
    <col min="1291" max="1292" width="4.7109375" style="7" customWidth="1"/>
    <col min="1293" max="1293" width="9.140625" style="7"/>
    <col min="1294" max="1294" width="4.7109375" style="7" customWidth="1"/>
    <col min="1295" max="1295" width="9.5703125" style="7" customWidth="1"/>
    <col min="1296" max="1536" width="9.140625" style="7"/>
    <col min="1537" max="1537" width="2.7109375" style="7" customWidth="1"/>
    <col min="1538" max="1538" width="18.7109375" style="7" customWidth="1"/>
    <col min="1539" max="1539" width="11.42578125" style="7" customWidth="1"/>
    <col min="1540" max="1542" width="9.140625" style="7"/>
    <col min="1543" max="1543" width="12.85546875" style="7" customWidth="1"/>
    <col min="1544" max="1544" width="9.140625" style="7"/>
    <col min="1545" max="1545" width="4.7109375" style="7" customWidth="1"/>
    <col min="1546" max="1546" width="9.140625" style="7"/>
    <col min="1547" max="1548" width="4.7109375" style="7" customWidth="1"/>
    <col min="1549" max="1549" width="9.140625" style="7"/>
    <col min="1550" max="1550" width="4.7109375" style="7" customWidth="1"/>
    <col min="1551" max="1551" width="9.5703125" style="7" customWidth="1"/>
    <col min="1552" max="1792" width="9.140625" style="7"/>
    <col min="1793" max="1793" width="2.7109375" style="7" customWidth="1"/>
    <col min="1794" max="1794" width="18.7109375" style="7" customWidth="1"/>
    <col min="1795" max="1795" width="11.42578125" style="7" customWidth="1"/>
    <col min="1796" max="1798" width="9.140625" style="7"/>
    <col min="1799" max="1799" width="12.85546875" style="7" customWidth="1"/>
    <col min="1800" max="1800" width="9.140625" style="7"/>
    <col min="1801" max="1801" width="4.7109375" style="7" customWidth="1"/>
    <col min="1802" max="1802" width="9.140625" style="7"/>
    <col min="1803" max="1804" width="4.7109375" style="7" customWidth="1"/>
    <col min="1805" max="1805" width="9.140625" style="7"/>
    <col min="1806" max="1806" width="4.7109375" style="7" customWidth="1"/>
    <col min="1807" max="1807" width="9.5703125" style="7" customWidth="1"/>
    <col min="1808" max="2048" width="9.140625" style="7"/>
    <col min="2049" max="2049" width="2.7109375" style="7" customWidth="1"/>
    <col min="2050" max="2050" width="18.7109375" style="7" customWidth="1"/>
    <col min="2051" max="2051" width="11.42578125" style="7" customWidth="1"/>
    <col min="2052" max="2054" width="9.140625" style="7"/>
    <col min="2055" max="2055" width="12.85546875" style="7" customWidth="1"/>
    <col min="2056" max="2056" width="9.140625" style="7"/>
    <col min="2057" max="2057" width="4.7109375" style="7" customWidth="1"/>
    <col min="2058" max="2058" width="9.140625" style="7"/>
    <col min="2059" max="2060" width="4.7109375" style="7" customWidth="1"/>
    <col min="2061" max="2061" width="9.140625" style="7"/>
    <col min="2062" max="2062" width="4.7109375" style="7" customWidth="1"/>
    <col min="2063" max="2063" width="9.5703125" style="7" customWidth="1"/>
    <col min="2064" max="2304" width="9.140625" style="7"/>
    <col min="2305" max="2305" width="2.7109375" style="7" customWidth="1"/>
    <col min="2306" max="2306" width="18.7109375" style="7" customWidth="1"/>
    <col min="2307" max="2307" width="11.42578125" style="7" customWidth="1"/>
    <col min="2308" max="2310" width="9.140625" style="7"/>
    <col min="2311" max="2311" width="12.85546875" style="7" customWidth="1"/>
    <col min="2312" max="2312" width="9.140625" style="7"/>
    <col min="2313" max="2313" width="4.7109375" style="7" customWidth="1"/>
    <col min="2314" max="2314" width="9.140625" style="7"/>
    <col min="2315" max="2316" width="4.7109375" style="7" customWidth="1"/>
    <col min="2317" max="2317" width="9.140625" style="7"/>
    <col min="2318" max="2318" width="4.7109375" style="7" customWidth="1"/>
    <col min="2319" max="2319" width="9.5703125" style="7" customWidth="1"/>
    <col min="2320" max="2560" width="9.140625" style="7"/>
    <col min="2561" max="2561" width="2.7109375" style="7" customWidth="1"/>
    <col min="2562" max="2562" width="18.7109375" style="7" customWidth="1"/>
    <col min="2563" max="2563" width="11.42578125" style="7" customWidth="1"/>
    <col min="2564" max="2566" width="9.140625" style="7"/>
    <col min="2567" max="2567" width="12.85546875" style="7" customWidth="1"/>
    <col min="2568" max="2568" width="9.140625" style="7"/>
    <col min="2569" max="2569" width="4.7109375" style="7" customWidth="1"/>
    <col min="2570" max="2570" width="9.140625" style="7"/>
    <col min="2571" max="2572" width="4.7109375" style="7" customWidth="1"/>
    <col min="2573" max="2573" width="9.140625" style="7"/>
    <col min="2574" max="2574" width="4.7109375" style="7" customWidth="1"/>
    <col min="2575" max="2575" width="9.5703125" style="7" customWidth="1"/>
    <col min="2576" max="2816" width="9.140625" style="7"/>
    <col min="2817" max="2817" width="2.7109375" style="7" customWidth="1"/>
    <col min="2818" max="2818" width="18.7109375" style="7" customWidth="1"/>
    <col min="2819" max="2819" width="11.42578125" style="7" customWidth="1"/>
    <col min="2820" max="2822" width="9.140625" style="7"/>
    <col min="2823" max="2823" width="12.85546875" style="7" customWidth="1"/>
    <col min="2824" max="2824" width="9.140625" style="7"/>
    <col min="2825" max="2825" width="4.7109375" style="7" customWidth="1"/>
    <col min="2826" max="2826" width="9.140625" style="7"/>
    <col min="2827" max="2828" width="4.7109375" style="7" customWidth="1"/>
    <col min="2829" max="2829" width="9.140625" style="7"/>
    <col min="2830" max="2830" width="4.7109375" style="7" customWidth="1"/>
    <col min="2831" max="2831" width="9.5703125" style="7" customWidth="1"/>
    <col min="2832" max="3072" width="9.140625" style="7"/>
    <col min="3073" max="3073" width="2.7109375" style="7" customWidth="1"/>
    <col min="3074" max="3074" width="18.7109375" style="7" customWidth="1"/>
    <col min="3075" max="3075" width="11.42578125" style="7" customWidth="1"/>
    <col min="3076" max="3078" width="9.140625" style="7"/>
    <col min="3079" max="3079" width="12.85546875" style="7" customWidth="1"/>
    <col min="3080" max="3080" width="9.140625" style="7"/>
    <col min="3081" max="3081" width="4.7109375" style="7" customWidth="1"/>
    <col min="3082" max="3082" width="9.140625" style="7"/>
    <col min="3083" max="3084" width="4.7109375" style="7" customWidth="1"/>
    <col min="3085" max="3085" width="9.140625" style="7"/>
    <col min="3086" max="3086" width="4.7109375" style="7" customWidth="1"/>
    <col min="3087" max="3087" width="9.5703125" style="7" customWidth="1"/>
    <col min="3088" max="3328" width="9.140625" style="7"/>
    <col min="3329" max="3329" width="2.7109375" style="7" customWidth="1"/>
    <col min="3330" max="3330" width="18.7109375" style="7" customWidth="1"/>
    <col min="3331" max="3331" width="11.42578125" style="7" customWidth="1"/>
    <col min="3332" max="3334" width="9.140625" style="7"/>
    <col min="3335" max="3335" width="12.85546875" style="7" customWidth="1"/>
    <col min="3336" max="3336" width="9.140625" style="7"/>
    <col min="3337" max="3337" width="4.7109375" style="7" customWidth="1"/>
    <col min="3338" max="3338" width="9.140625" style="7"/>
    <col min="3339" max="3340" width="4.7109375" style="7" customWidth="1"/>
    <col min="3341" max="3341" width="9.140625" style="7"/>
    <col min="3342" max="3342" width="4.7109375" style="7" customWidth="1"/>
    <col min="3343" max="3343" width="9.5703125" style="7" customWidth="1"/>
    <col min="3344" max="3584" width="9.140625" style="7"/>
    <col min="3585" max="3585" width="2.7109375" style="7" customWidth="1"/>
    <col min="3586" max="3586" width="18.7109375" style="7" customWidth="1"/>
    <col min="3587" max="3587" width="11.42578125" style="7" customWidth="1"/>
    <col min="3588" max="3590" width="9.140625" style="7"/>
    <col min="3591" max="3591" width="12.85546875" style="7" customWidth="1"/>
    <col min="3592" max="3592" width="9.140625" style="7"/>
    <col min="3593" max="3593" width="4.7109375" style="7" customWidth="1"/>
    <col min="3594" max="3594" width="9.140625" style="7"/>
    <col min="3595" max="3596" width="4.7109375" style="7" customWidth="1"/>
    <col min="3597" max="3597" width="9.140625" style="7"/>
    <col min="3598" max="3598" width="4.7109375" style="7" customWidth="1"/>
    <col min="3599" max="3599" width="9.5703125" style="7" customWidth="1"/>
    <col min="3600" max="3840" width="9.140625" style="7"/>
    <col min="3841" max="3841" width="2.7109375" style="7" customWidth="1"/>
    <col min="3842" max="3842" width="18.7109375" style="7" customWidth="1"/>
    <col min="3843" max="3843" width="11.42578125" style="7" customWidth="1"/>
    <col min="3844" max="3846" width="9.140625" style="7"/>
    <col min="3847" max="3847" width="12.85546875" style="7" customWidth="1"/>
    <col min="3848" max="3848" width="9.140625" style="7"/>
    <col min="3849" max="3849" width="4.7109375" style="7" customWidth="1"/>
    <col min="3850" max="3850" width="9.140625" style="7"/>
    <col min="3851" max="3852" width="4.7109375" style="7" customWidth="1"/>
    <col min="3853" max="3853" width="9.140625" style="7"/>
    <col min="3854" max="3854" width="4.7109375" style="7" customWidth="1"/>
    <col min="3855" max="3855" width="9.5703125" style="7" customWidth="1"/>
    <col min="3856" max="4096" width="9.140625" style="7"/>
    <col min="4097" max="4097" width="2.7109375" style="7" customWidth="1"/>
    <col min="4098" max="4098" width="18.7109375" style="7" customWidth="1"/>
    <col min="4099" max="4099" width="11.42578125" style="7" customWidth="1"/>
    <col min="4100" max="4102" width="9.140625" style="7"/>
    <col min="4103" max="4103" width="12.85546875" style="7" customWidth="1"/>
    <col min="4104" max="4104" width="9.140625" style="7"/>
    <col min="4105" max="4105" width="4.7109375" style="7" customWidth="1"/>
    <col min="4106" max="4106" width="9.140625" style="7"/>
    <col min="4107" max="4108" width="4.7109375" style="7" customWidth="1"/>
    <col min="4109" max="4109" width="9.140625" style="7"/>
    <col min="4110" max="4110" width="4.7109375" style="7" customWidth="1"/>
    <col min="4111" max="4111" width="9.5703125" style="7" customWidth="1"/>
    <col min="4112" max="4352" width="9.140625" style="7"/>
    <col min="4353" max="4353" width="2.7109375" style="7" customWidth="1"/>
    <col min="4354" max="4354" width="18.7109375" style="7" customWidth="1"/>
    <col min="4355" max="4355" width="11.42578125" style="7" customWidth="1"/>
    <col min="4356" max="4358" width="9.140625" style="7"/>
    <col min="4359" max="4359" width="12.85546875" style="7" customWidth="1"/>
    <col min="4360" max="4360" width="9.140625" style="7"/>
    <col min="4361" max="4361" width="4.7109375" style="7" customWidth="1"/>
    <col min="4362" max="4362" width="9.140625" style="7"/>
    <col min="4363" max="4364" width="4.7109375" style="7" customWidth="1"/>
    <col min="4365" max="4365" width="9.140625" style="7"/>
    <col min="4366" max="4366" width="4.7109375" style="7" customWidth="1"/>
    <col min="4367" max="4367" width="9.5703125" style="7" customWidth="1"/>
    <col min="4368" max="4608" width="9.140625" style="7"/>
    <col min="4609" max="4609" width="2.7109375" style="7" customWidth="1"/>
    <col min="4610" max="4610" width="18.7109375" style="7" customWidth="1"/>
    <col min="4611" max="4611" width="11.42578125" style="7" customWidth="1"/>
    <col min="4612" max="4614" width="9.140625" style="7"/>
    <col min="4615" max="4615" width="12.85546875" style="7" customWidth="1"/>
    <col min="4616" max="4616" width="9.140625" style="7"/>
    <col min="4617" max="4617" width="4.7109375" style="7" customWidth="1"/>
    <col min="4618" max="4618" width="9.140625" style="7"/>
    <col min="4619" max="4620" width="4.7109375" style="7" customWidth="1"/>
    <col min="4621" max="4621" width="9.140625" style="7"/>
    <col min="4622" max="4622" width="4.7109375" style="7" customWidth="1"/>
    <col min="4623" max="4623" width="9.5703125" style="7" customWidth="1"/>
    <col min="4624" max="4864" width="9.140625" style="7"/>
    <col min="4865" max="4865" width="2.7109375" style="7" customWidth="1"/>
    <col min="4866" max="4866" width="18.7109375" style="7" customWidth="1"/>
    <col min="4867" max="4867" width="11.42578125" style="7" customWidth="1"/>
    <col min="4868" max="4870" width="9.140625" style="7"/>
    <col min="4871" max="4871" width="12.85546875" style="7" customWidth="1"/>
    <col min="4872" max="4872" width="9.140625" style="7"/>
    <col min="4873" max="4873" width="4.7109375" style="7" customWidth="1"/>
    <col min="4874" max="4874" width="9.140625" style="7"/>
    <col min="4875" max="4876" width="4.7109375" style="7" customWidth="1"/>
    <col min="4877" max="4877" width="9.140625" style="7"/>
    <col min="4878" max="4878" width="4.7109375" style="7" customWidth="1"/>
    <col min="4879" max="4879" width="9.5703125" style="7" customWidth="1"/>
    <col min="4880" max="5120" width="9.140625" style="7"/>
    <col min="5121" max="5121" width="2.7109375" style="7" customWidth="1"/>
    <col min="5122" max="5122" width="18.7109375" style="7" customWidth="1"/>
    <col min="5123" max="5123" width="11.42578125" style="7" customWidth="1"/>
    <col min="5124" max="5126" width="9.140625" style="7"/>
    <col min="5127" max="5127" width="12.85546875" style="7" customWidth="1"/>
    <col min="5128" max="5128" width="9.140625" style="7"/>
    <col min="5129" max="5129" width="4.7109375" style="7" customWidth="1"/>
    <col min="5130" max="5130" width="9.140625" style="7"/>
    <col min="5131" max="5132" width="4.7109375" style="7" customWidth="1"/>
    <col min="5133" max="5133" width="9.140625" style="7"/>
    <col min="5134" max="5134" width="4.7109375" style="7" customWidth="1"/>
    <col min="5135" max="5135" width="9.5703125" style="7" customWidth="1"/>
    <col min="5136" max="5376" width="9.140625" style="7"/>
    <col min="5377" max="5377" width="2.7109375" style="7" customWidth="1"/>
    <col min="5378" max="5378" width="18.7109375" style="7" customWidth="1"/>
    <col min="5379" max="5379" width="11.42578125" style="7" customWidth="1"/>
    <col min="5380" max="5382" width="9.140625" style="7"/>
    <col min="5383" max="5383" width="12.85546875" style="7" customWidth="1"/>
    <col min="5384" max="5384" width="9.140625" style="7"/>
    <col min="5385" max="5385" width="4.7109375" style="7" customWidth="1"/>
    <col min="5386" max="5386" width="9.140625" style="7"/>
    <col min="5387" max="5388" width="4.7109375" style="7" customWidth="1"/>
    <col min="5389" max="5389" width="9.140625" style="7"/>
    <col min="5390" max="5390" width="4.7109375" style="7" customWidth="1"/>
    <col min="5391" max="5391" width="9.5703125" style="7" customWidth="1"/>
    <col min="5392" max="5632" width="9.140625" style="7"/>
    <col min="5633" max="5633" width="2.7109375" style="7" customWidth="1"/>
    <col min="5634" max="5634" width="18.7109375" style="7" customWidth="1"/>
    <col min="5635" max="5635" width="11.42578125" style="7" customWidth="1"/>
    <col min="5636" max="5638" width="9.140625" style="7"/>
    <col min="5639" max="5639" width="12.85546875" style="7" customWidth="1"/>
    <col min="5640" max="5640" width="9.140625" style="7"/>
    <col min="5641" max="5641" width="4.7109375" style="7" customWidth="1"/>
    <col min="5642" max="5642" width="9.140625" style="7"/>
    <col min="5643" max="5644" width="4.7109375" style="7" customWidth="1"/>
    <col min="5645" max="5645" width="9.140625" style="7"/>
    <col min="5646" max="5646" width="4.7109375" style="7" customWidth="1"/>
    <col min="5647" max="5647" width="9.5703125" style="7" customWidth="1"/>
    <col min="5648" max="5888" width="9.140625" style="7"/>
    <col min="5889" max="5889" width="2.7109375" style="7" customWidth="1"/>
    <col min="5890" max="5890" width="18.7109375" style="7" customWidth="1"/>
    <col min="5891" max="5891" width="11.42578125" style="7" customWidth="1"/>
    <col min="5892" max="5894" width="9.140625" style="7"/>
    <col min="5895" max="5895" width="12.85546875" style="7" customWidth="1"/>
    <col min="5896" max="5896" width="9.140625" style="7"/>
    <col min="5897" max="5897" width="4.7109375" style="7" customWidth="1"/>
    <col min="5898" max="5898" width="9.140625" style="7"/>
    <col min="5899" max="5900" width="4.7109375" style="7" customWidth="1"/>
    <col min="5901" max="5901" width="9.140625" style="7"/>
    <col min="5902" max="5902" width="4.7109375" style="7" customWidth="1"/>
    <col min="5903" max="5903" width="9.5703125" style="7" customWidth="1"/>
    <col min="5904" max="6144" width="9.140625" style="7"/>
    <col min="6145" max="6145" width="2.7109375" style="7" customWidth="1"/>
    <col min="6146" max="6146" width="18.7109375" style="7" customWidth="1"/>
    <col min="6147" max="6147" width="11.42578125" style="7" customWidth="1"/>
    <col min="6148" max="6150" width="9.140625" style="7"/>
    <col min="6151" max="6151" width="12.85546875" style="7" customWidth="1"/>
    <col min="6152" max="6152" width="9.140625" style="7"/>
    <col min="6153" max="6153" width="4.7109375" style="7" customWidth="1"/>
    <col min="6154" max="6154" width="9.140625" style="7"/>
    <col min="6155" max="6156" width="4.7109375" style="7" customWidth="1"/>
    <col min="6157" max="6157" width="9.140625" style="7"/>
    <col min="6158" max="6158" width="4.7109375" style="7" customWidth="1"/>
    <col min="6159" max="6159" width="9.5703125" style="7" customWidth="1"/>
    <col min="6160" max="6400" width="9.140625" style="7"/>
    <col min="6401" max="6401" width="2.7109375" style="7" customWidth="1"/>
    <col min="6402" max="6402" width="18.7109375" style="7" customWidth="1"/>
    <col min="6403" max="6403" width="11.42578125" style="7" customWidth="1"/>
    <col min="6404" max="6406" width="9.140625" style="7"/>
    <col min="6407" max="6407" width="12.85546875" style="7" customWidth="1"/>
    <col min="6408" max="6408" width="9.140625" style="7"/>
    <col min="6409" max="6409" width="4.7109375" style="7" customWidth="1"/>
    <col min="6410" max="6410" width="9.140625" style="7"/>
    <col min="6411" max="6412" width="4.7109375" style="7" customWidth="1"/>
    <col min="6413" max="6413" width="9.140625" style="7"/>
    <col min="6414" max="6414" width="4.7109375" style="7" customWidth="1"/>
    <col min="6415" max="6415" width="9.5703125" style="7" customWidth="1"/>
    <col min="6416" max="6656" width="9.140625" style="7"/>
    <col min="6657" max="6657" width="2.7109375" style="7" customWidth="1"/>
    <col min="6658" max="6658" width="18.7109375" style="7" customWidth="1"/>
    <col min="6659" max="6659" width="11.42578125" style="7" customWidth="1"/>
    <col min="6660" max="6662" width="9.140625" style="7"/>
    <col min="6663" max="6663" width="12.85546875" style="7" customWidth="1"/>
    <col min="6664" max="6664" width="9.140625" style="7"/>
    <col min="6665" max="6665" width="4.7109375" style="7" customWidth="1"/>
    <col min="6666" max="6666" width="9.140625" style="7"/>
    <col min="6667" max="6668" width="4.7109375" style="7" customWidth="1"/>
    <col min="6669" max="6669" width="9.140625" style="7"/>
    <col min="6670" max="6670" width="4.7109375" style="7" customWidth="1"/>
    <col min="6671" max="6671" width="9.5703125" style="7" customWidth="1"/>
    <col min="6672" max="6912" width="9.140625" style="7"/>
    <col min="6913" max="6913" width="2.7109375" style="7" customWidth="1"/>
    <col min="6914" max="6914" width="18.7109375" style="7" customWidth="1"/>
    <col min="6915" max="6915" width="11.42578125" style="7" customWidth="1"/>
    <col min="6916" max="6918" width="9.140625" style="7"/>
    <col min="6919" max="6919" width="12.85546875" style="7" customWidth="1"/>
    <col min="6920" max="6920" width="9.140625" style="7"/>
    <col min="6921" max="6921" width="4.7109375" style="7" customWidth="1"/>
    <col min="6922" max="6922" width="9.140625" style="7"/>
    <col min="6923" max="6924" width="4.7109375" style="7" customWidth="1"/>
    <col min="6925" max="6925" width="9.140625" style="7"/>
    <col min="6926" max="6926" width="4.7109375" style="7" customWidth="1"/>
    <col min="6927" max="6927" width="9.5703125" style="7" customWidth="1"/>
    <col min="6928" max="7168" width="9.140625" style="7"/>
    <col min="7169" max="7169" width="2.7109375" style="7" customWidth="1"/>
    <col min="7170" max="7170" width="18.7109375" style="7" customWidth="1"/>
    <col min="7171" max="7171" width="11.42578125" style="7" customWidth="1"/>
    <col min="7172" max="7174" width="9.140625" style="7"/>
    <col min="7175" max="7175" width="12.85546875" style="7" customWidth="1"/>
    <col min="7176" max="7176" width="9.140625" style="7"/>
    <col min="7177" max="7177" width="4.7109375" style="7" customWidth="1"/>
    <col min="7178" max="7178" width="9.140625" style="7"/>
    <col min="7179" max="7180" width="4.7109375" style="7" customWidth="1"/>
    <col min="7181" max="7181" width="9.140625" style="7"/>
    <col min="7182" max="7182" width="4.7109375" style="7" customWidth="1"/>
    <col min="7183" max="7183" width="9.5703125" style="7" customWidth="1"/>
    <col min="7184" max="7424" width="9.140625" style="7"/>
    <col min="7425" max="7425" width="2.7109375" style="7" customWidth="1"/>
    <col min="7426" max="7426" width="18.7109375" style="7" customWidth="1"/>
    <col min="7427" max="7427" width="11.42578125" style="7" customWidth="1"/>
    <col min="7428" max="7430" width="9.140625" style="7"/>
    <col min="7431" max="7431" width="12.85546875" style="7" customWidth="1"/>
    <col min="7432" max="7432" width="9.140625" style="7"/>
    <col min="7433" max="7433" width="4.7109375" style="7" customWidth="1"/>
    <col min="7434" max="7434" width="9.140625" style="7"/>
    <col min="7435" max="7436" width="4.7109375" style="7" customWidth="1"/>
    <col min="7437" max="7437" width="9.140625" style="7"/>
    <col min="7438" max="7438" width="4.7109375" style="7" customWidth="1"/>
    <col min="7439" max="7439" width="9.5703125" style="7" customWidth="1"/>
    <col min="7440" max="7680" width="9.140625" style="7"/>
    <col min="7681" max="7681" width="2.7109375" style="7" customWidth="1"/>
    <col min="7682" max="7682" width="18.7109375" style="7" customWidth="1"/>
    <col min="7683" max="7683" width="11.42578125" style="7" customWidth="1"/>
    <col min="7684" max="7686" width="9.140625" style="7"/>
    <col min="7687" max="7687" width="12.85546875" style="7" customWidth="1"/>
    <col min="7688" max="7688" width="9.140625" style="7"/>
    <col min="7689" max="7689" width="4.7109375" style="7" customWidth="1"/>
    <col min="7690" max="7690" width="9.140625" style="7"/>
    <col min="7691" max="7692" width="4.7109375" style="7" customWidth="1"/>
    <col min="7693" max="7693" width="9.140625" style="7"/>
    <col min="7694" max="7694" width="4.7109375" style="7" customWidth="1"/>
    <col min="7695" max="7695" width="9.5703125" style="7" customWidth="1"/>
    <col min="7696" max="7936" width="9.140625" style="7"/>
    <col min="7937" max="7937" width="2.7109375" style="7" customWidth="1"/>
    <col min="7938" max="7938" width="18.7109375" style="7" customWidth="1"/>
    <col min="7939" max="7939" width="11.42578125" style="7" customWidth="1"/>
    <col min="7940" max="7942" width="9.140625" style="7"/>
    <col min="7943" max="7943" width="12.85546875" style="7" customWidth="1"/>
    <col min="7944" max="7944" width="9.140625" style="7"/>
    <col min="7945" max="7945" width="4.7109375" style="7" customWidth="1"/>
    <col min="7946" max="7946" width="9.140625" style="7"/>
    <col min="7947" max="7948" width="4.7109375" style="7" customWidth="1"/>
    <col min="7949" max="7949" width="9.140625" style="7"/>
    <col min="7950" max="7950" width="4.7109375" style="7" customWidth="1"/>
    <col min="7951" max="7951" width="9.5703125" style="7" customWidth="1"/>
    <col min="7952" max="8192" width="9.140625" style="7"/>
    <col min="8193" max="8193" width="2.7109375" style="7" customWidth="1"/>
    <col min="8194" max="8194" width="18.7109375" style="7" customWidth="1"/>
    <col min="8195" max="8195" width="11.42578125" style="7" customWidth="1"/>
    <col min="8196" max="8198" width="9.140625" style="7"/>
    <col min="8199" max="8199" width="12.85546875" style="7" customWidth="1"/>
    <col min="8200" max="8200" width="9.140625" style="7"/>
    <col min="8201" max="8201" width="4.7109375" style="7" customWidth="1"/>
    <col min="8202" max="8202" width="9.140625" style="7"/>
    <col min="8203" max="8204" width="4.7109375" style="7" customWidth="1"/>
    <col min="8205" max="8205" width="9.140625" style="7"/>
    <col min="8206" max="8206" width="4.7109375" style="7" customWidth="1"/>
    <col min="8207" max="8207" width="9.5703125" style="7" customWidth="1"/>
    <col min="8208" max="8448" width="9.140625" style="7"/>
    <col min="8449" max="8449" width="2.7109375" style="7" customWidth="1"/>
    <col min="8450" max="8450" width="18.7109375" style="7" customWidth="1"/>
    <col min="8451" max="8451" width="11.42578125" style="7" customWidth="1"/>
    <col min="8452" max="8454" width="9.140625" style="7"/>
    <col min="8455" max="8455" width="12.85546875" style="7" customWidth="1"/>
    <col min="8456" max="8456" width="9.140625" style="7"/>
    <col min="8457" max="8457" width="4.7109375" style="7" customWidth="1"/>
    <col min="8458" max="8458" width="9.140625" style="7"/>
    <col min="8459" max="8460" width="4.7109375" style="7" customWidth="1"/>
    <col min="8461" max="8461" width="9.140625" style="7"/>
    <col min="8462" max="8462" width="4.7109375" style="7" customWidth="1"/>
    <col min="8463" max="8463" width="9.5703125" style="7" customWidth="1"/>
    <col min="8464" max="8704" width="9.140625" style="7"/>
    <col min="8705" max="8705" width="2.7109375" style="7" customWidth="1"/>
    <col min="8706" max="8706" width="18.7109375" style="7" customWidth="1"/>
    <col min="8707" max="8707" width="11.42578125" style="7" customWidth="1"/>
    <col min="8708" max="8710" width="9.140625" style="7"/>
    <col min="8711" max="8711" width="12.85546875" style="7" customWidth="1"/>
    <col min="8712" max="8712" width="9.140625" style="7"/>
    <col min="8713" max="8713" width="4.7109375" style="7" customWidth="1"/>
    <col min="8714" max="8714" width="9.140625" style="7"/>
    <col min="8715" max="8716" width="4.7109375" style="7" customWidth="1"/>
    <col min="8717" max="8717" width="9.140625" style="7"/>
    <col min="8718" max="8718" width="4.7109375" style="7" customWidth="1"/>
    <col min="8719" max="8719" width="9.5703125" style="7" customWidth="1"/>
    <col min="8720" max="8960" width="9.140625" style="7"/>
    <col min="8961" max="8961" width="2.7109375" style="7" customWidth="1"/>
    <col min="8962" max="8962" width="18.7109375" style="7" customWidth="1"/>
    <col min="8963" max="8963" width="11.42578125" style="7" customWidth="1"/>
    <col min="8964" max="8966" width="9.140625" style="7"/>
    <col min="8967" max="8967" width="12.85546875" style="7" customWidth="1"/>
    <col min="8968" max="8968" width="9.140625" style="7"/>
    <col min="8969" max="8969" width="4.7109375" style="7" customWidth="1"/>
    <col min="8970" max="8970" width="9.140625" style="7"/>
    <col min="8971" max="8972" width="4.7109375" style="7" customWidth="1"/>
    <col min="8973" max="8973" width="9.140625" style="7"/>
    <col min="8974" max="8974" width="4.7109375" style="7" customWidth="1"/>
    <col min="8975" max="8975" width="9.5703125" style="7" customWidth="1"/>
    <col min="8976" max="9216" width="9.140625" style="7"/>
    <col min="9217" max="9217" width="2.7109375" style="7" customWidth="1"/>
    <col min="9218" max="9218" width="18.7109375" style="7" customWidth="1"/>
    <col min="9219" max="9219" width="11.42578125" style="7" customWidth="1"/>
    <col min="9220" max="9222" width="9.140625" style="7"/>
    <col min="9223" max="9223" width="12.85546875" style="7" customWidth="1"/>
    <col min="9224" max="9224" width="9.140625" style="7"/>
    <col min="9225" max="9225" width="4.7109375" style="7" customWidth="1"/>
    <col min="9226" max="9226" width="9.140625" style="7"/>
    <col min="9227" max="9228" width="4.7109375" style="7" customWidth="1"/>
    <col min="9229" max="9229" width="9.140625" style="7"/>
    <col min="9230" max="9230" width="4.7109375" style="7" customWidth="1"/>
    <col min="9231" max="9231" width="9.5703125" style="7" customWidth="1"/>
    <col min="9232" max="9472" width="9.140625" style="7"/>
    <col min="9473" max="9473" width="2.7109375" style="7" customWidth="1"/>
    <col min="9474" max="9474" width="18.7109375" style="7" customWidth="1"/>
    <col min="9475" max="9475" width="11.42578125" style="7" customWidth="1"/>
    <col min="9476" max="9478" width="9.140625" style="7"/>
    <col min="9479" max="9479" width="12.85546875" style="7" customWidth="1"/>
    <col min="9480" max="9480" width="9.140625" style="7"/>
    <col min="9481" max="9481" width="4.7109375" style="7" customWidth="1"/>
    <col min="9482" max="9482" width="9.140625" style="7"/>
    <col min="9483" max="9484" width="4.7109375" style="7" customWidth="1"/>
    <col min="9485" max="9485" width="9.140625" style="7"/>
    <col min="9486" max="9486" width="4.7109375" style="7" customWidth="1"/>
    <col min="9487" max="9487" width="9.5703125" style="7" customWidth="1"/>
    <col min="9488" max="9728" width="9.140625" style="7"/>
    <col min="9729" max="9729" width="2.7109375" style="7" customWidth="1"/>
    <col min="9730" max="9730" width="18.7109375" style="7" customWidth="1"/>
    <col min="9731" max="9731" width="11.42578125" style="7" customWidth="1"/>
    <col min="9732" max="9734" width="9.140625" style="7"/>
    <col min="9735" max="9735" width="12.85546875" style="7" customWidth="1"/>
    <col min="9736" max="9736" width="9.140625" style="7"/>
    <col min="9737" max="9737" width="4.7109375" style="7" customWidth="1"/>
    <col min="9738" max="9738" width="9.140625" style="7"/>
    <col min="9739" max="9740" width="4.7109375" style="7" customWidth="1"/>
    <col min="9741" max="9741" width="9.140625" style="7"/>
    <col min="9742" max="9742" width="4.7109375" style="7" customWidth="1"/>
    <col min="9743" max="9743" width="9.5703125" style="7" customWidth="1"/>
    <col min="9744" max="9984" width="9.140625" style="7"/>
    <col min="9985" max="9985" width="2.7109375" style="7" customWidth="1"/>
    <col min="9986" max="9986" width="18.7109375" style="7" customWidth="1"/>
    <col min="9987" max="9987" width="11.42578125" style="7" customWidth="1"/>
    <col min="9988" max="9990" width="9.140625" style="7"/>
    <col min="9991" max="9991" width="12.85546875" style="7" customWidth="1"/>
    <col min="9992" max="9992" width="9.140625" style="7"/>
    <col min="9993" max="9993" width="4.7109375" style="7" customWidth="1"/>
    <col min="9994" max="9994" width="9.140625" style="7"/>
    <col min="9995" max="9996" width="4.7109375" style="7" customWidth="1"/>
    <col min="9997" max="9997" width="9.140625" style="7"/>
    <col min="9998" max="9998" width="4.7109375" style="7" customWidth="1"/>
    <col min="9999" max="9999" width="9.5703125" style="7" customWidth="1"/>
    <col min="10000" max="10240" width="9.140625" style="7"/>
    <col min="10241" max="10241" width="2.7109375" style="7" customWidth="1"/>
    <col min="10242" max="10242" width="18.7109375" style="7" customWidth="1"/>
    <col min="10243" max="10243" width="11.42578125" style="7" customWidth="1"/>
    <col min="10244" max="10246" width="9.140625" style="7"/>
    <col min="10247" max="10247" width="12.85546875" style="7" customWidth="1"/>
    <col min="10248" max="10248" width="9.140625" style="7"/>
    <col min="10249" max="10249" width="4.7109375" style="7" customWidth="1"/>
    <col min="10250" max="10250" width="9.140625" style="7"/>
    <col min="10251" max="10252" width="4.7109375" style="7" customWidth="1"/>
    <col min="10253" max="10253" width="9.140625" style="7"/>
    <col min="10254" max="10254" width="4.7109375" style="7" customWidth="1"/>
    <col min="10255" max="10255" width="9.5703125" style="7" customWidth="1"/>
    <col min="10256" max="10496" width="9.140625" style="7"/>
    <col min="10497" max="10497" width="2.7109375" style="7" customWidth="1"/>
    <col min="10498" max="10498" width="18.7109375" style="7" customWidth="1"/>
    <col min="10499" max="10499" width="11.42578125" style="7" customWidth="1"/>
    <col min="10500" max="10502" width="9.140625" style="7"/>
    <col min="10503" max="10503" width="12.85546875" style="7" customWidth="1"/>
    <col min="10504" max="10504" width="9.140625" style="7"/>
    <col min="10505" max="10505" width="4.7109375" style="7" customWidth="1"/>
    <col min="10506" max="10506" width="9.140625" style="7"/>
    <col min="10507" max="10508" width="4.7109375" style="7" customWidth="1"/>
    <col min="10509" max="10509" width="9.140625" style="7"/>
    <col min="10510" max="10510" width="4.7109375" style="7" customWidth="1"/>
    <col min="10511" max="10511" width="9.5703125" style="7" customWidth="1"/>
    <col min="10512" max="10752" width="9.140625" style="7"/>
    <col min="10753" max="10753" width="2.7109375" style="7" customWidth="1"/>
    <col min="10754" max="10754" width="18.7109375" style="7" customWidth="1"/>
    <col min="10755" max="10755" width="11.42578125" style="7" customWidth="1"/>
    <col min="10756" max="10758" width="9.140625" style="7"/>
    <col min="10759" max="10759" width="12.85546875" style="7" customWidth="1"/>
    <col min="10760" max="10760" width="9.140625" style="7"/>
    <col min="10761" max="10761" width="4.7109375" style="7" customWidth="1"/>
    <col min="10762" max="10762" width="9.140625" style="7"/>
    <col min="10763" max="10764" width="4.7109375" style="7" customWidth="1"/>
    <col min="10765" max="10765" width="9.140625" style="7"/>
    <col min="10766" max="10766" width="4.7109375" style="7" customWidth="1"/>
    <col min="10767" max="10767" width="9.5703125" style="7" customWidth="1"/>
    <col min="10768" max="11008" width="9.140625" style="7"/>
    <col min="11009" max="11009" width="2.7109375" style="7" customWidth="1"/>
    <col min="11010" max="11010" width="18.7109375" style="7" customWidth="1"/>
    <col min="11011" max="11011" width="11.42578125" style="7" customWidth="1"/>
    <col min="11012" max="11014" width="9.140625" style="7"/>
    <col min="11015" max="11015" width="12.85546875" style="7" customWidth="1"/>
    <col min="11016" max="11016" width="9.140625" style="7"/>
    <col min="11017" max="11017" width="4.7109375" style="7" customWidth="1"/>
    <col min="11018" max="11018" width="9.140625" style="7"/>
    <col min="11019" max="11020" width="4.7109375" style="7" customWidth="1"/>
    <col min="11021" max="11021" width="9.140625" style="7"/>
    <col min="11022" max="11022" width="4.7109375" style="7" customWidth="1"/>
    <col min="11023" max="11023" width="9.5703125" style="7" customWidth="1"/>
    <col min="11024" max="11264" width="9.140625" style="7"/>
    <col min="11265" max="11265" width="2.7109375" style="7" customWidth="1"/>
    <col min="11266" max="11266" width="18.7109375" style="7" customWidth="1"/>
    <col min="11267" max="11267" width="11.42578125" style="7" customWidth="1"/>
    <col min="11268" max="11270" width="9.140625" style="7"/>
    <col min="11271" max="11271" width="12.85546875" style="7" customWidth="1"/>
    <col min="11272" max="11272" width="9.140625" style="7"/>
    <col min="11273" max="11273" width="4.7109375" style="7" customWidth="1"/>
    <col min="11274" max="11274" width="9.140625" style="7"/>
    <col min="11275" max="11276" width="4.7109375" style="7" customWidth="1"/>
    <col min="11277" max="11277" width="9.140625" style="7"/>
    <col min="11278" max="11278" width="4.7109375" style="7" customWidth="1"/>
    <col min="11279" max="11279" width="9.5703125" style="7" customWidth="1"/>
    <col min="11280" max="11520" width="9.140625" style="7"/>
    <col min="11521" max="11521" width="2.7109375" style="7" customWidth="1"/>
    <col min="11522" max="11522" width="18.7109375" style="7" customWidth="1"/>
    <col min="11523" max="11523" width="11.42578125" style="7" customWidth="1"/>
    <col min="11524" max="11526" width="9.140625" style="7"/>
    <col min="11527" max="11527" width="12.85546875" style="7" customWidth="1"/>
    <col min="11528" max="11528" width="9.140625" style="7"/>
    <col min="11529" max="11529" width="4.7109375" style="7" customWidth="1"/>
    <col min="11530" max="11530" width="9.140625" style="7"/>
    <col min="11531" max="11532" width="4.7109375" style="7" customWidth="1"/>
    <col min="11533" max="11533" width="9.140625" style="7"/>
    <col min="11534" max="11534" width="4.7109375" style="7" customWidth="1"/>
    <col min="11535" max="11535" width="9.5703125" style="7" customWidth="1"/>
    <col min="11536" max="11776" width="9.140625" style="7"/>
    <col min="11777" max="11777" width="2.7109375" style="7" customWidth="1"/>
    <col min="11778" max="11778" width="18.7109375" style="7" customWidth="1"/>
    <col min="11779" max="11779" width="11.42578125" style="7" customWidth="1"/>
    <col min="11780" max="11782" width="9.140625" style="7"/>
    <col min="11783" max="11783" width="12.85546875" style="7" customWidth="1"/>
    <col min="11784" max="11784" width="9.140625" style="7"/>
    <col min="11785" max="11785" width="4.7109375" style="7" customWidth="1"/>
    <col min="11786" max="11786" width="9.140625" style="7"/>
    <col min="11787" max="11788" width="4.7109375" style="7" customWidth="1"/>
    <col min="11789" max="11789" width="9.140625" style="7"/>
    <col min="11790" max="11790" width="4.7109375" style="7" customWidth="1"/>
    <col min="11791" max="11791" width="9.5703125" style="7" customWidth="1"/>
    <col min="11792" max="12032" width="9.140625" style="7"/>
    <col min="12033" max="12033" width="2.7109375" style="7" customWidth="1"/>
    <col min="12034" max="12034" width="18.7109375" style="7" customWidth="1"/>
    <col min="12035" max="12035" width="11.42578125" style="7" customWidth="1"/>
    <col min="12036" max="12038" width="9.140625" style="7"/>
    <col min="12039" max="12039" width="12.85546875" style="7" customWidth="1"/>
    <col min="12040" max="12040" width="9.140625" style="7"/>
    <col min="12041" max="12041" width="4.7109375" style="7" customWidth="1"/>
    <col min="12042" max="12042" width="9.140625" style="7"/>
    <col min="12043" max="12044" width="4.7109375" style="7" customWidth="1"/>
    <col min="12045" max="12045" width="9.140625" style="7"/>
    <col min="12046" max="12046" width="4.7109375" style="7" customWidth="1"/>
    <col min="12047" max="12047" width="9.5703125" style="7" customWidth="1"/>
    <col min="12048" max="12288" width="9.140625" style="7"/>
    <col min="12289" max="12289" width="2.7109375" style="7" customWidth="1"/>
    <col min="12290" max="12290" width="18.7109375" style="7" customWidth="1"/>
    <col min="12291" max="12291" width="11.42578125" style="7" customWidth="1"/>
    <col min="12292" max="12294" width="9.140625" style="7"/>
    <col min="12295" max="12295" width="12.85546875" style="7" customWidth="1"/>
    <col min="12296" max="12296" width="9.140625" style="7"/>
    <col min="12297" max="12297" width="4.7109375" style="7" customWidth="1"/>
    <col min="12298" max="12298" width="9.140625" style="7"/>
    <col min="12299" max="12300" width="4.7109375" style="7" customWidth="1"/>
    <col min="12301" max="12301" width="9.140625" style="7"/>
    <col min="12302" max="12302" width="4.7109375" style="7" customWidth="1"/>
    <col min="12303" max="12303" width="9.5703125" style="7" customWidth="1"/>
    <col min="12304" max="12544" width="9.140625" style="7"/>
    <col min="12545" max="12545" width="2.7109375" style="7" customWidth="1"/>
    <col min="12546" max="12546" width="18.7109375" style="7" customWidth="1"/>
    <col min="12547" max="12547" width="11.42578125" style="7" customWidth="1"/>
    <col min="12548" max="12550" width="9.140625" style="7"/>
    <col min="12551" max="12551" width="12.85546875" style="7" customWidth="1"/>
    <col min="12552" max="12552" width="9.140625" style="7"/>
    <col min="12553" max="12553" width="4.7109375" style="7" customWidth="1"/>
    <col min="12554" max="12554" width="9.140625" style="7"/>
    <col min="12555" max="12556" width="4.7109375" style="7" customWidth="1"/>
    <col min="12557" max="12557" width="9.140625" style="7"/>
    <col min="12558" max="12558" width="4.7109375" style="7" customWidth="1"/>
    <col min="12559" max="12559" width="9.5703125" style="7" customWidth="1"/>
    <col min="12560" max="12800" width="9.140625" style="7"/>
    <col min="12801" max="12801" width="2.7109375" style="7" customWidth="1"/>
    <col min="12802" max="12802" width="18.7109375" style="7" customWidth="1"/>
    <col min="12803" max="12803" width="11.42578125" style="7" customWidth="1"/>
    <col min="12804" max="12806" width="9.140625" style="7"/>
    <col min="12807" max="12807" width="12.85546875" style="7" customWidth="1"/>
    <col min="12808" max="12808" width="9.140625" style="7"/>
    <col min="12809" max="12809" width="4.7109375" style="7" customWidth="1"/>
    <col min="12810" max="12810" width="9.140625" style="7"/>
    <col min="12811" max="12812" width="4.7109375" style="7" customWidth="1"/>
    <col min="12813" max="12813" width="9.140625" style="7"/>
    <col min="12814" max="12814" width="4.7109375" style="7" customWidth="1"/>
    <col min="12815" max="12815" width="9.5703125" style="7" customWidth="1"/>
    <col min="12816" max="13056" width="9.140625" style="7"/>
    <col min="13057" max="13057" width="2.7109375" style="7" customWidth="1"/>
    <col min="13058" max="13058" width="18.7109375" style="7" customWidth="1"/>
    <col min="13059" max="13059" width="11.42578125" style="7" customWidth="1"/>
    <col min="13060" max="13062" width="9.140625" style="7"/>
    <col min="13063" max="13063" width="12.85546875" style="7" customWidth="1"/>
    <col min="13064" max="13064" width="9.140625" style="7"/>
    <col min="13065" max="13065" width="4.7109375" style="7" customWidth="1"/>
    <col min="13066" max="13066" width="9.140625" style="7"/>
    <col min="13067" max="13068" width="4.7109375" style="7" customWidth="1"/>
    <col min="13069" max="13069" width="9.140625" style="7"/>
    <col min="13070" max="13070" width="4.7109375" style="7" customWidth="1"/>
    <col min="13071" max="13071" width="9.5703125" style="7" customWidth="1"/>
    <col min="13072" max="13312" width="9.140625" style="7"/>
    <col min="13313" max="13313" width="2.7109375" style="7" customWidth="1"/>
    <col min="13314" max="13314" width="18.7109375" style="7" customWidth="1"/>
    <col min="13315" max="13315" width="11.42578125" style="7" customWidth="1"/>
    <col min="13316" max="13318" width="9.140625" style="7"/>
    <col min="13319" max="13319" width="12.85546875" style="7" customWidth="1"/>
    <col min="13320" max="13320" width="9.140625" style="7"/>
    <col min="13321" max="13321" width="4.7109375" style="7" customWidth="1"/>
    <col min="13322" max="13322" width="9.140625" style="7"/>
    <col min="13323" max="13324" width="4.7109375" style="7" customWidth="1"/>
    <col min="13325" max="13325" width="9.140625" style="7"/>
    <col min="13326" max="13326" width="4.7109375" style="7" customWidth="1"/>
    <col min="13327" max="13327" width="9.5703125" style="7" customWidth="1"/>
    <col min="13328" max="13568" width="9.140625" style="7"/>
    <col min="13569" max="13569" width="2.7109375" style="7" customWidth="1"/>
    <col min="13570" max="13570" width="18.7109375" style="7" customWidth="1"/>
    <col min="13571" max="13571" width="11.42578125" style="7" customWidth="1"/>
    <col min="13572" max="13574" width="9.140625" style="7"/>
    <col min="13575" max="13575" width="12.85546875" style="7" customWidth="1"/>
    <col min="13576" max="13576" width="9.140625" style="7"/>
    <col min="13577" max="13577" width="4.7109375" style="7" customWidth="1"/>
    <col min="13578" max="13578" width="9.140625" style="7"/>
    <col min="13579" max="13580" width="4.7109375" style="7" customWidth="1"/>
    <col min="13581" max="13581" width="9.140625" style="7"/>
    <col min="13582" max="13582" width="4.7109375" style="7" customWidth="1"/>
    <col min="13583" max="13583" width="9.5703125" style="7" customWidth="1"/>
    <col min="13584" max="13824" width="9.140625" style="7"/>
    <col min="13825" max="13825" width="2.7109375" style="7" customWidth="1"/>
    <col min="13826" max="13826" width="18.7109375" style="7" customWidth="1"/>
    <col min="13827" max="13827" width="11.42578125" style="7" customWidth="1"/>
    <col min="13828" max="13830" width="9.140625" style="7"/>
    <col min="13831" max="13831" width="12.85546875" style="7" customWidth="1"/>
    <col min="13832" max="13832" width="9.140625" style="7"/>
    <col min="13833" max="13833" width="4.7109375" style="7" customWidth="1"/>
    <col min="13834" max="13834" width="9.140625" style="7"/>
    <col min="13835" max="13836" width="4.7109375" style="7" customWidth="1"/>
    <col min="13837" max="13837" width="9.140625" style="7"/>
    <col min="13838" max="13838" width="4.7109375" style="7" customWidth="1"/>
    <col min="13839" max="13839" width="9.5703125" style="7" customWidth="1"/>
    <col min="13840" max="14080" width="9.140625" style="7"/>
    <col min="14081" max="14081" width="2.7109375" style="7" customWidth="1"/>
    <col min="14082" max="14082" width="18.7109375" style="7" customWidth="1"/>
    <col min="14083" max="14083" width="11.42578125" style="7" customWidth="1"/>
    <col min="14084" max="14086" width="9.140625" style="7"/>
    <col min="14087" max="14087" width="12.85546875" style="7" customWidth="1"/>
    <col min="14088" max="14088" width="9.140625" style="7"/>
    <col min="14089" max="14089" width="4.7109375" style="7" customWidth="1"/>
    <col min="14090" max="14090" width="9.140625" style="7"/>
    <col min="14091" max="14092" width="4.7109375" style="7" customWidth="1"/>
    <col min="14093" max="14093" width="9.140625" style="7"/>
    <col min="14094" max="14094" width="4.7109375" style="7" customWidth="1"/>
    <col min="14095" max="14095" width="9.5703125" style="7" customWidth="1"/>
    <col min="14096" max="14336" width="9.140625" style="7"/>
    <col min="14337" max="14337" width="2.7109375" style="7" customWidth="1"/>
    <col min="14338" max="14338" width="18.7109375" style="7" customWidth="1"/>
    <col min="14339" max="14339" width="11.42578125" style="7" customWidth="1"/>
    <col min="14340" max="14342" width="9.140625" style="7"/>
    <col min="14343" max="14343" width="12.85546875" style="7" customWidth="1"/>
    <col min="14344" max="14344" width="9.140625" style="7"/>
    <col min="14345" max="14345" width="4.7109375" style="7" customWidth="1"/>
    <col min="14346" max="14346" width="9.140625" style="7"/>
    <col min="14347" max="14348" width="4.7109375" style="7" customWidth="1"/>
    <col min="14349" max="14349" width="9.140625" style="7"/>
    <col min="14350" max="14350" width="4.7109375" style="7" customWidth="1"/>
    <col min="14351" max="14351" width="9.5703125" style="7" customWidth="1"/>
    <col min="14352" max="14592" width="9.140625" style="7"/>
    <col min="14593" max="14593" width="2.7109375" style="7" customWidth="1"/>
    <col min="14594" max="14594" width="18.7109375" style="7" customWidth="1"/>
    <col min="14595" max="14595" width="11.42578125" style="7" customWidth="1"/>
    <col min="14596" max="14598" width="9.140625" style="7"/>
    <col min="14599" max="14599" width="12.85546875" style="7" customWidth="1"/>
    <col min="14600" max="14600" width="9.140625" style="7"/>
    <col min="14601" max="14601" width="4.7109375" style="7" customWidth="1"/>
    <col min="14602" max="14602" width="9.140625" style="7"/>
    <col min="14603" max="14604" width="4.7109375" style="7" customWidth="1"/>
    <col min="14605" max="14605" width="9.140625" style="7"/>
    <col min="14606" max="14606" width="4.7109375" style="7" customWidth="1"/>
    <col min="14607" max="14607" width="9.5703125" style="7" customWidth="1"/>
    <col min="14608" max="14848" width="9.140625" style="7"/>
    <col min="14849" max="14849" width="2.7109375" style="7" customWidth="1"/>
    <col min="14850" max="14850" width="18.7109375" style="7" customWidth="1"/>
    <col min="14851" max="14851" width="11.42578125" style="7" customWidth="1"/>
    <col min="14852" max="14854" width="9.140625" style="7"/>
    <col min="14855" max="14855" width="12.85546875" style="7" customWidth="1"/>
    <col min="14856" max="14856" width="9.140625" style="7"/>
    <col min="14857" max="14857" width="4.7109375" style="7" customWidth="1"/>
    <col min="14858" max="14858" width="9.140625" style="7"/>
    <col min="14859" max="14860" width="4.7109375" style="7" customWidth="1"/>
    <col min="14861" max="14861" width="9.140625" style="7"/>
    <col min="14862" max="14862" width="4.7109375" style="7" customWidth="1"/>
    <col min="14863" max="14863" width="9.5703125" style="7" customWidth="1"/>
    <col min="14864" max="15104" width="9.140625" style="7"/>
    <col min="15105" max="15105" width="2.7109375" style="7" customWidth="1"/>
    <col min="15106" max="15106" width="18.7109375" style="7" customWidth="1"/>
    <col min="15107" max="15107" width="11.42578125" style="7" customWidth="1"/>
    <col min="15108" max="15110" width="9.140625" style="7"/>
    <col min="15111" max="15111" width="12.85546875" style="7" customWidth="1"/>
    <col min="15112" max="15112" width="9.140625" style="7"/>
    <col min="15113" max="15113" width="4.7109375" style="7" customWidth="1"/>
    <col min="15114" max="15114" width="9.140625" style="7"/>
    <col min="15115" max="15116" width="4.7109375" style="7" customWidth="1"/>
    <col min="15117" max="15117" width="9.140625" style="7"/>
    <col min="15118" max="15118" width="4.7109375" style="7" customWidth="1"/>
    <col min="15119" max="15119" width="9.5703125" style="7" customWidth="1"/>
    <col min="15120" max="15360" width="9.140625" style="7"/>
    <col min="15361" max="15361" width="2.7109375" style="7" customWidth="1"/>
    <col min="15362" max="15362" width="18.7109375" style="7" customWidth="1"/>
    <col min="15363" max="15363" width="11.42578125" style="7" customWidth="1"/>
    <col min="15364" max="15366" width="9.140625" style="7"/>
    <col min="15367" max="15367" width="12.85546875" style="7" customWidth="1"/>
    <col min="15368" max="15368" width="9.140625" style="7"/>
    <col min="15369" max="15369" width="4.7109375" style="7" customWidth="1"/>
    <col min="15370" max="15370" width="9.140625" style="7"/>
    <col min="15371" max="15372" width="4.7109375" style="7" customWidth="1"/>
    <col min="15373" max="15373" width="9.140625" style="7"/>
    <col min="15374" max="15374" width="4.7109375" style="7" customWidth="1"/>
    <col min="15375" max="15375" width="9.5703125" style="7" customWidth="1"/>
    <col min="15376" max="15616" width="9.140625" style="7"/>
    <col min="15617" max="15617" width="2.7109375" style="7" customWidth="1"/>
    <col min="15618" max="15618" width="18.7109375" style="7" customWidth="1"/>
    <col min="15619" max="15619" width="11.42578125" style="7" customWidth="1"/>
    <col min="15620" max="15622" width="9.140625" style="7"/>
    <col min="15623" max="15623" width="12.85546875" style="7" customWidth="1"/>
    <col min="15624" max="15624" width="9.140625" style="7"/>
    <col min="15625" max="15625" width="4.7109375" style="7" customWidth="1"/>
    <col min="15626" max="15626" width="9.140625" style="7"/>
    <col min="15627" max="15628" width="4.7109375" style="7" customWidth="1"/>
    <col min="15629" max="15629" width="9.140625" style="7"/>
    <col min="15630" max="15630" width="4.7109375" style="7" customWidth="1"/>
    <col min="15631" max="15631" width="9.5703125" style="7" customWidth="1"/>
    <col min="15632" max="15872" width="9.140625" style="7"/>
    <col min="15873" max="15873" width="2.7109375" style="7" customWidth="1"/>
    <col min="15874" max="15874" width="18.7109375" style="7" customWidth="1"/>
    <col min="15875" max="15875" width="11.42578125" style="7" customWidth="1"/>
    <col min="15876" max="15878" width="9.140625" style="7"/>
    <col min="15879" max="15879" width="12.85546875" style="7" customWidth="1"/>
    <col min="15880" max="15880" width="9.140625" style="7"/>
    <col min="15881" max="15881" width="4.7109375" style="7" customWidth="1"/>
    <col min="15882" max="15882" width="9.140625" style="7"/>
    <col min="15883" max="15884" width="4.7109375" style="7" customWidth="1"/>
    <col min="15885" max="15885" width="9.140625" style="7"/>
    <col min="15886" max="15886" width="4.7109375" style="7" customWidth="1"/>
    <col min="15887" max="15887" width="9.5703125" style="7" customWidth="1"/>
    <col min="15888" max="16128" width="9.140625" style="7"/>
    <col min="16129" max="16129" width="2.7109375" style="7" customWidth="1"/>
    <col min="16130" max="16130" width="18.7109375" style="7" customWidth="1"/>
    <col min="16131" max="16131" width="11.42578125" style="7" customWidth="1"/>
    <col min="16132" max="16134" width="9.140625" style="7"/>
    <col min="16135" max="16135" width="12.85546875" style="7" customWidth="1"/>
    <col min="16136" max="16136" width="9.140625" style="7"/>
    <col min="16137" max="16137" width="4.7109375" style="7" customWidth="1"/>
    <col min="16138" max="16138" width="9.140625" style="7"/>
    <col min="16139" max="16140" width="4.7109375" style="7" customWidth="1"/>
    <col min="16141" max="16141" width="9.140625" style="7"/>
    <col min="16142" max="16142" width="4.7109375" style="7" customWidth="1"/>
    <col min="16143" max="16143" width="9.5703125" style="7" customWidth="1"/>
    <col min="16144" max="16384" width="9.140625" style="7"/>
  </cols>
  <sheetData>
    <row r="1" spans="1:26" s="5" customFormat="1" ht="40.5">
      <c r="A1" s="116" t="s">
        <v>365</v>
      </c>
      <c r="B1" s="47">
        <v>41043</v>
      </c>
      <c r="C1" s="48" t="s">
        <v>281</v>
      </c>
      <c r="D1" s="48" t="s">
        <v>370</v>
      </c>
      <c r="E1" s="48" t="s">
        <v>98</v>
      </c>
      <c r="F1" s="48" t="s">
        <v>371</v>
      </c>
      <c r="G1" s="11" t="s">
        <v>372</v>
      </c>
      <c r="H1" s="11" t="s">
        <v>373</v>
      </c>
      <c r="I1" s="11" t="s">
        <v>374</v>
      </c>
      <c r="J1" s="11" t="s">
        <v>37</v>
      </c>
      <c r="K1" s="11" t="s">
        <v>27</v>
      </c>
      <c r="L1" s="11">
        <v>120</v>
      </c>
      <c r="M1" s="11">
        <v>0</v>
      </c>
      <c r="N1" s="11" t="s">
        <v>11</v>
      </c>
      <c r="O1" s="11" t="s">
        <v>12</v>
      </c>
      <c r="P1" s="11" t="s">
        <v>51</v>
      </c>
      <c r="Q1" s="11" t="s">
        <v>52</v>
      </c>
      <c r="R1" s="11"/>
    </row>
    <row r="2" spans="1:26" s="6" customFormat="1" ht="38.25">
      <c r="A2" s="11" t="s">
        <v>262</v>
      </c>
      <c r="B2" s="15">
        <v>41530</v>
      </c>
      <c r="C2" s="11" t="s">
        <v>297</v>
      </c>
      <c r="D2" s="11" t="s">
        <v>375</v>
      </c>
      <c r="E2" s="11" t="s">
        <v>23</v>
      </c>
      <c r="F2" s="11" t="s">
        <v>376</v>
      </c>
      <c r="G2" s="11" t="s">
        <v>377</v>
      </c>
      <c r="H2" s="11" t="s">
        <v>378</v>
      </c>
      <c r="I2" s="11" t="s">
        <v>374</v>
      </c>
      <c r="J2" s="11" t="s">
        <v>71</v>
      </c>
      <c r="K2" s="11" t="s">
        <v>379</v>
      </c>
      <c r="L2" s="11">
        <v>0</v>
      </c>
      <c r="M2" s="11">
        <v>0</v>
      </c>
      <c r="N2" s="11" t="s">
        <v>14</v>
      </c>
      <c r="O2" s="11" t="s">
        <v>380</v>
      </c>
      <c r="P2" s="11" t="s">
        <v>51</v>
      </c>
      <c r="Q2" s="11" t="s">
        <v>29</v>
      </c>
      <c r="R2" s="11"/>
      <c r="S2" s="11"/>
      <c r="T2" s="11"/>
      <c r="U2" s="11"/>
      <c r="V2" s="11"/>
      <c r="W2" s="11"/>
      <c r="X2" s="11"/>
      <c r="Y2" s="11"/>
      <c r="Z2" s="11"/>
    </row>
    <row r="3" spans="1:26" ht="51">
      <c r="A3" s="11" t="s">
        <v>253</v>
      </c>
      <c r="B3" s="15">
        <v>41673</v>
      </c>
      <c r="C3" s="11" t="s">
        <v>302</v>
      </c>
      <c r="D3" s="11" t="s">
        <v>381</v>
      </c>
      <c r="E3" s="11" t="s">
        <v>23</v>
      </c>
      <c r="F3" s="11" t="s">
        <v>382</v>
      </c>
      <c r="G3" s="11" t="s">
        <v>383</v>
      </c>
      <c r="H3" s="11" t="s">
        <v>384</v>
      </c>
      <c r="I3" s="11" t="s">
        <v>385</v>
      </c>
      <c r="J3" s="11" t="s">
        <v>39</v>
      </c>
      <c r="K3" s="11" t="s">
        <v>78</v>
      </c>
      <c r="L3" s="11">
        <v>55</v>
      </c>
      <c r="M3" s="11">
        <v>8</v>
      </c>
      <c r="N3" s="11" t="s">
        <v>11</v>
      </c>
      <c r="O3" s="11" t="s">
        <v>13</v>
      </c>
      <c r="P3" s="11" t="s">
        <v>51</v>
      </c>
      <c r="Q3" s="11" t="s">
        <v>50</v>
      </c>
      <c r="R3" s="11"/>
      <c r="S3" s="11"/>
      <c r="T3" s="11"/>
      <c r="U3" s="11"/>
      <c r="V3" s="11"/>
      <c r="W3" s="11"/>
      <c r="X3" s="11"/>
      <c r="Y3" s="11"/>
      <c r="Z3" s="11"/>
    </row>
    <row r="4" spans="1:26" ht="38.25">
      <c r="A4" s="11" t="s">
        <v>214</v>
      </c>
      <c r="B4" s="15">
        <v>41814</v>
      </c>
      <c r="C4" s="11" t="s">
        <v>306</v>
      </c>
      <c r="D4" s="11" t="s">
        <v>386</v>
      </c>
      <c r="E4" s="11" t="s">
        <v>23</v>
      </c>
      <c r="F4" s="11" t="s">
        <v>387</v>
      </c>
      <c r="G4" s="11" t="s">
        <v>388</v>
      </c>
      <c r="H4" s="11" t="s">
        <v>389</v>
      </c>
      <c r="I4" s="11" t="s">
        <v>385</v>
      </c>
      <c r="J4" s="11" t="s">
        <v>55</v>
      </c>
      <c r="K4" s="11" t="s">
        <v>7</v>
      </c>
      <c r="L4" s="11">
        <v>160</v>
      </c>
      <c r="M4" s="11">
        <v>5</v>
      </c>
      <c r="N4" s="11" t="s">
        <v>11</v>
      </c>
      <c r="O4" s="11" t="s">
        <v>12</v>
      </c>
      <c r="P4" s="11" t="s">
        <v>51</v>
      </c>
      <c r="Q4" s="11" t="s">
        <v>52</v>
      </c>
      <c r="R4" s="11"/>
      <c r="S4" s="11"/>
      <c r="T4" s="11"/>
      <c r="U4" s="11"/>
      <c r="V4" s="11"/>
      <c r="W4" s="11"/>
      <c r="X4" s="11"/>
      <c r="Y4" s="11"/>
      <c r="Z4" s="11"/>
    </row>
    <row r="5" spans="1:26" ht="38.25">
      <c r="A5" s="11" t="s">
        <v>183</v>
      </c>
      <c r="B5" s="15">
        <v>41925</v>
      </c>
      <c r="C5" s="11" t="s">
        <v>309</v>
      </c>
      <c r="D5" s="11" t="s">
        <v>390</v>
      </c>
      <c r="E5" s="11" t="s">
        <v>23</v>
      </c>
      <c r="F5" s="11" t="s">
        <v>391</v>
      </c>
      <c r="G5" s="11" t="s">
        <v>377</v>
      </c>
      <c r="H5" s="11" t="s">
        <v>392</v>
      </c>
      <c r="I5" s="11" t="s">
        <v>374</v>
      </c>
      <c r="J5" s="11" t="s">
        <v>137</v>
      </c>
      <c r="K5" s="11" t="s">
        <v>379</v>
      </c>
      <c r="L5" s="11">
        <v>0</v>
      </c>
      <c r="M5" s="11">
        <v>0</v>
      </c>
      <c r="N5" s="11" t="s">
        <v>14</v>
      </c>
      <c r="O5" s="11" t="s">
        <v>380</v>
      </c>
      <c r="P5" s="11" t="s">
        <v>51</v>
      </c>
      <c r="Q5" s="11" t="s">
        <v>29</v>
      </c>
      <c r="R5" s="11"/>
      <c r="S5" s="11"/>
      <c r="T5" s="11"/>
      <c r="U5" s="11"/>
      <c r="V5" s="11"/>
      <c r="W5" s="11"/>
      <c r="X5" s="11"/>
      <c r="Y5" s="11"/>
      <c r="Z5" s="11"/>
    </row>
    <row r="6" spans="1:26" ht="25.5">
      <c r="A6" s="11" t="s">
        <v>178</v>
      </c>
      <c r="B6" s="15">
        <v>42027</v>
      </c>
      <c r="C6" s="11" t="s">
        <v>311</v>
      </c>
      <c r="D6" s="11" t="s">
        <v>393</v>
      </c>
      <c r="E6" s="11" t="s">
        <v>121</v>
      </c>
      <c r="F6" s="11" t="s">
        <v>394</v>
      </c>
      <c r="G6" s="11" t="s">
        <v>395</v>
      </c>
      <c r="H6" s="11" t="s">
        <v>396</v>
      </c>
      <c r="I6" s="11" t="s">
        <v>397</v>
      </c>
      <c r="J6" s="11" t="s">
        <v>124</v>
      </c>
      <c r="K6" s="11" t="s">
        <v>55</v>
      </c>
      <c r="L6" s="11">
        <v>40</v>
      </c>
      <c r="M6" s="11">
        <v>3</v>
      </c>
      <c r="N6" s="11" t="s">
        <v>11</v>
      </c>
      <c r="O6" s="11" t="s">
        <v>12</v>
      </c>
      <c r="P6" s="11" t="s">
        <v>51</v>
      </c>
      <c r="Q6" s="11" t="s">
        <v>3</v>
      </c>
      <c r="R6" s="11"/>
      <c r="S6" s="11"/>
      <c r="T6" s="11"/>
      <c r="U6" s="11"/>
      <c r="V6" s="11"/>
      <c r="W6" s="11"/>
      <c r="X6" s="11"/>
      <c r="Y6" s="11"/>
      <c r="Z6" s="11"/>
    </row>
    <row r="7" spans="1:26" ht="51">
      <c r="A7" s="11" t="s">
        <v>234</v>
      </c>
      <c r="B7" s="15">
        <v>42153</v>
      </c>
      <c r="C7" s="11" t="s">
        <v>314</v>
      </c>
      <c r="D7" s="11" t="s">
        <v>398</v>
      </c>
      <c r="E7" s="11" t="s">
        <v>121</v>
      </c>
      <c r="F7" s="11" t="s">
        <v>399</v>
      </c>
      <c r="G7" s="11" t="s">
        <v>400</v>
      </c>
      <c r="H7" s="11" t="s">
        <v>401</v>
      </c>
      <c r="I7" s="11" t="s">
        <v>397</v>
      </c>
      <c r="J7" s="11" t="s">
        <v>56</v>
      </c>
      <c r="K7" s="11" t="s">
        <v>47</v>
      </c>
      <c r="L7" s="11">
        <v>95</v>
      </c>
      <c r="M7" s="11">
        <v>12</v>
      </c>
      <c r="N7" s="11" t="s">
        <v>12</v>
      </c>
      <c r="O7" s="11" t="s">
        <v>13</v>
      </c>
      <c r="P7" s="11" t="s">
        <v>51</v>
      </c>
      <c r="Q7" s="11" t="s">
        <v>50</v>
      </c>
      <c r="R7" s="11"/>
      <c r="S7" s="11"/>
      <c r="T7" s="11"/>
      <c r="U7" s="11"/>
      <c r="V7" s="11"/>
      <c r="W7" s="11"/>
      <c r="X7" s="11"/>
      <c r="Y7" s="11"/>
      <c r="Z7" s="11"/>
    </row>
    <row r="8" spans="1:26" ht="25.5">
      <c r="A8" s="11" t="s">
        <v>206</v>
      </c>
      <c r="B8" s="15">
        <v>42419</v>
      </c>
      <c r="C8" s="11" t="s">
        <v>321</v>
      </c>
      <c r="D8" s="11" t="s">
        <v>402</v>
      </c>
      <c r="E8" s="11" t="s">
        <v>24</v>
      </c>
      <c r="F8" s="11" t="s">
        <v>403</v>
      </c>
      <c r="G8" s="11" t="s">
        <v>404</v>
      </c>
      <c r="H8" s="11" t="s">
        <v>396</v>
      </c>
      <c r="I8" s="11" t="s">
        <v>405</v>
      </c>
      <c r="J8" s="11" t="s">
        <v>78</v>
      </c>
      <c r="K8" s="11" t="s">
        <v>7</v>
      </c>
      <c r="L8" s="11">
        <v>40</v>
      </c>
      <c r="M8" s="11">
        <v>4</v>
      </c>
      <c r="N8" s="11" t="s">
        <v>11</v>
      </c>
      <c r="O8" s="11" t="s">
        <v>13</v>
      </c>
      <c r="P8" s="11" t="s">
        <v>51</v>
      </c>
      <c r="Q8" s="11" t="s">
        <v>3</v>
      </c>
      <c r="R8" s="11"/>
      <c r="S8" s="11"/>
      <c r="T8" s="11"/>
      <c r="U8" s="11"/>
      <c r="V8" s="11"/>
      <c r="W8" s="11"/>
      <c r="X8" s="11"/>
      <c r="Y8" s="11"/>
      <c r="Z8" s="11"/>
    </row>
    <row r="9" spans="1:26" ht="25.5">
      <c r="A9" s="11" t="s">
        <v>199</v>
      </c>
      <c r="B9" s="15">
        <v>42579</v>
      </c>
      <c r="C9" s="11" t="s">
        <v>323</v>
      </c>
      <c r="D9" s="11" t="s">
        <v>406</v>
      </c>
      <c r="E9" s="11" t="s">
        <v>24</v>
      </c>
      <c r="F9" s="11" t="s">
        <v>407</v>
      </c>
      <c r="G9" s="11" t="s">
        <v>408</v>
      </c>
      <c r="H9" s="11" t="s">
        <v>409</v>
      </c>
      <c r="I9" s="11" t="s">
        <v>405</v>
      </c>
      <c r="J9" s="11" t="s">
        <v>34</v>
      </c>
      <c r="K9" s="11" t="s">
        <v>33</v>
      </c>
      <c r="L9" s="11">
        <v>210</v>
      </c>
      <c r="M9" s="11">
        <v>0</v>
      </c>
      <c r="N9" s="11" t="s">
        <v>12</v>
      </c>
      <c r="O9" s="11" t="s">
        <v>13</v>
      </c>
      <c r="P9" s="11" t="s">
        <v>51</v>
      </c>
      <c r="Q9" s="11" t="s">
        <v>50</v>
      </c>
      <c r="R9" s="11"/>
      <c r="S9" s="11"/>
      <c r="T9" s="11"/>
      <c r="U9" s="11"/>
      <c r="V9" s="11"/>
      <c r="W9" s="11"/>
      <c r="X9" s="11"/>
      <c r="Y9" s="11"/>
      <c r="Z9" s="11"/>
    </row>
    <row r="10" spans="1:26" s="5" customFormat="1" ht="51">
      <c r="A10" s="11" t="s">
        <v>219</v>
      </c>
      <c r="B10" s="15">
        <v>42766</v>
      </c>
      <c r="C10" s="11" t="s">
        <v>326</v>
      </c>
      <c r="D10" s="11" t="s">
        <v>410</v>
      </c>
      <c r="E10" s="11" t="s">
        <v>77</v>
      </c>
      <c r="F10" s="11" t="s">
        <v>411</v>
      </c>
      <c r="G10" s="11" t="s">
        <v>412</v>
      </c>
      <c r="H10" s="11" t="s">
        <v>413</v>
      </c>
      <c r="I10" s="11" t="s">
        <v>414</v>
      </c>
      <c r="J10" s="11" t="s">
        <v>77</v>
      </c>
      <c r="K10" s="11" t="s">
        <v>70</v>
      </c>
      <c r="L10" s="11">
        <v>35</v>
      </c>
      <c r="M10" s="11">
        <v>18</v>
      </c>
      <c r="N10" s="11" t="s">
        <v>12</v>
      </c>
      <c r="O10" s="11" t="s">
        <v>13</v>
      </c>
      <c r="P10" s="11" t="s">
        <v>51</v>
      </c>
      <c r="Q10" s="11" t="s">
        <v>3</v>
      </c>
      <c r="R10" s="11"/>
      <c r="S10" s="11"/>
      <c r="T10" s="11"/>
      <c r="U10" s="11"/>
      <c r="V10" s="11"/>
      <c r="W10" s="11"/>
      <c r="X10" s="11"/>
      <c r="Y10" s="11"/>
      <c r="Z10" s="11"/>
    </row>
    <row r="11" spans="1:26" s="5" customFormat="1" ht="38.25">
      <c r="A11" s="11" t="s">
        <v>174</v>
      </c>
      <c r="B11" s="15">
        <v>42766</v>
      </c>
      <c r="C11" s="11" t="s">
        <v>333</v>
      </c>
      <c r="D11" s="11" t="s">
        <v>415</v>
      </c>
      <c r="E11" s="11" t="s">
        <v>77</v>
      </c>
      <c r="F11" s="11" t="s">
        <v>416</v>
      </c>
      <c r="G11" s="11" t="s">
        <v>417</v>
      </c>
      <c r="H11" s="11" t="s">
        <v>418</v>
      </c>
      <c r="I11" s="11" t="s">
        <v>414</v>
      </c>
      <c r="J11" s="11" t="s">
        <v>147</v>
      </c>
      <c r="K11" s="11" t="s">
        <v>379</v>
      </c>
      <c r="L11" s="11">
        <v>0</v>
      </c>
      <c r="M11" s="11">
        <v>-18</v>
      </c>
      <c r="N11" s="11" t="s">
        <v>14</v>
      </c>
      <c r="O11" s="11" t="s">
        <v>380</v>
      </c>
      <c r="P11" s="11" t="s">
        <v>51</v>
      </c>
      <c r="Q11" s="11" t="s">
        <v>29</v>
      </c>
      <c r="R11" s="11"/>
      <c r="S11" s="11"/>
      <c r="T11" s="11"/>
      <c r="U11" s="11"/>
      <c r="V11" s="11"/>
      <c r="W11" s="11"/>
      <c r="X11" s="11"/>
      <c r="Y11" s="11"/>
      <c r="Z11" s="11"/>
    </row>
    <row r="12" spans="1:26" s="5" customFormat="1" ht="51">
      <c r="A12" s="11" t="s">
        <v>223</v>
      </c>
      <c r="B12" s="15">
        <v>42766</v>
      </c>
      <c r="C12" s="11" t="s">
        <v>345</v>
      </c>
      <c r="D12" s="11" t="s">
        <v>419</v>
      </c>
      <c r="E12" s="11" t="s">
        <v>77</v>
      </c>
      <c r="F12" s="11" t="s">
        <v>420</v>
      </c>
      <c r="G12" s="11" t="s">
        <v>421</v>
      </c>
      <c r="H12" s="11" t="s">
        <v>422</v>
      </c>
      <c r="I12" s="11" t="s">
        <v>414</v>
      </c>
      <c r="J12" s="11" t="s">
        <v>70</v>
      </c>
      <c r="K12" s="11" t="s">
        <v>77</v>
      </c>
      <c r="L12" s="11">
        <v>0</v>
      </c>
      <c r="M12" s="11">
        <v>300</v>
      </c>
      <c r="N12" s="11" t="s">
        <v>12</v>
      </c>
      <c r="O12" s="11" t="s">
        <v>13</v>
      </c>
      <c r="P12" s="11" t="s">
        <v>51</v>
      </c>
      <c r="Q12" s="11" t="s">
        <v>3</v>
      </c>
      <c r="R12" s="11"/>
      <c r="S12" s="11"/>
      <c r="T12" s="11"/>
      <c r="U12" s="11"/>
      <c r="V12" s="11"/>
      <c r="W12" s="11"/>
      <c r="X12" s="11"/>
      <c r="Y12" s="11"/>
      <c r="Z12" s="11"/>
    </row>
    <row r="13" spans="1:26" s="5" customFormat="1" ht="38.25">
      <c r="A13" s="11" t="s">
        <v>230</v>
      </c>
      <c r="B13" s="15">
        <v>42766</v>
      </c>
      <c r="C13" s="11" t="s">
        <v>353</v>
      </c>
      <c r="D13" s="11" t="s">
        <v>424</v>
      </c>
      <c r="E13" s="11" t="s">
        <v>77</v>
      </c>
      <c r="F13" s="11" t="s">
        <v>425</v>
      </c>
      <c r="G13" s="11" t="s">
        <v>426</v>
      </c>
      <c r="H13" s="11" t="s">
        <v>427</v>
      </c>
      <c r="I13" s="11" t="s">
        <v>414</v>
      </c>
      <c r="J13" s="11" t="s">
        <v>53</v>
      </c>
      <c r="K13" s="11" t="s">
        <v>70</v>
      </c>
      <c r="L13" s="11">
        <v>0</v>
      </c>
      <c r="M13" s="11">
        <v>0</v>
      </c>
      <c r="N13" s="11" t="s">
        <v>11</v>
      </c>
      <c r="O13" s="11" t="s">
        <v>13</v>
      </c>
      <c r="P13" s="11" t="s">
        <v>51</v>
      </c>
      <c r="Q13" s="11" t="s">
        <v>3</v>
      </c>
      <c r="R13" s="11"/>
      <c r="S13" s="11"/>
      <c r="T13" s="11"/>
      <c r="U13" s="11"/>
      <c r="V13" s="11"/>
      <c r="W13" s="11"/>
      <c r="X13" s="11"/>
      <c r="Y13" s="11"/>
      <c r="Z13" s="11"/>
    </row>
    <row r="14" spans="1:26" s="5" customFormat="1" ht="38.25">
      <c r="A14" s="11" t="s">
        <v>249</v>
      </c>
      <c r="B14" s="15">
        <v>42766</v>
      </c>
      <c r="C14" s="11" t="s">
        <v>353</v>
      </c>
      <c r="D14" s="11" t="s">
        <v>429</v>
      </c>
      <c r="E14" s="11" t="s">
        <v>77</v>
      </c>
      <c r="F14" s="11" t="s">
        <v>430</v>
      </c>
      <c r="G14" s="11" t="s">
        <v>431</v>
      </c>
      <c r="H14" s="11" t="s">
        <v>432</v>
      </c>
      <c r="I14" s="11" t="s">
        <v>414</v>
      </c>
      <c r="J14" s="11" t="s">
        <v>27</v>
      </c>
      <c r="K14" s="11" t="s">
        <v>379</v>
      </c>
      <c r="L14" s="11">
        <v>0</v>
      </c>
      <c r="M14" s="11">
        <v>0</v>
      </c>
      <c r="N14" s="11" t="s">
        <v>12</v>
      </c>
      <c r="O14" s="11" t="s">
        <v>13</v>
      </c>
      <c r="P14" s="11" t="s">
        <v>51</v>
      </c>
      <c r="Q14" s="11" t="s">
        <v>433</v>
      </c>
      <c r="R14" s="11"/>
      <c r="S14" s="11"/>
      <c r="T14" s="11"/>
      <c r="U14" s="11"/>
      <c r="V14" s="11"/>
      <c r="W14" s="11"/>
      <c r="X14" s="11"/>
      <c r="Y14" s="11"/>
      <c r="Z14" s="11"/>
    </row>
    <row r="15" spans="1:26" s="5" customFormat="1">
      <c r="A15" s="11" t="s">
        <v>423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s="5" customFormat="1">
      <c r="A16" s="11" t="s">
        <v>428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s="5" customForma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s="5" customForma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s="5" customForma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s="5" customForma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s="5" customForma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s="5" customForma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s="8" customForma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s="8" customForma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s="8" customFormat="1">
      <c r="A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s="8" customForma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s="8" customForma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Check Box 1">
              <controlPr defaultSize="0" autoFill="0" autoLine="0" autoPict="0">
                <anchor moveWithCells="1">
                  <from>
                    <xdr:col>13</xdr:col>
                    <xdr:colOff>38100</xdr:colOff>
                    <xdr:row>1</xdr:row>
                    <xdr:rowOff>19050</xdr:rowOff>
                  </from>
                  <to>
                    <xdr:col>13</xdr:col>
                    <xdr:colOff>342900</xdr:colOff>
                    <xdr:row>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Check Box 2">
              <controlPr defaultSize="0" autoFill="0" autoLine="0" autoPict="0">
                <anchor moveWithCells="1">
                  <from>
                    <xdr:col>13</xdr:col>
                    <xdr:colOff>38100</xdr:colOff>
                    <xdr:row>2</xdr:row>
                    <xdr:rowOff>19050</xdr:rowOff>
                  </from>
                  <to>
                    <xdr:col>13</xdr:col>
                    <xdr:colOff>342900</xdr:colOff>
                    <xdr:row>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5" name="Check Box 5">
              <controlPr defaultSize="0" autoFill="0" autoLine="0" autoPict="0">
                <anchor moveWithCells="1">
                  <from>
                    <xdr:col>13</xdr:col>
                    <xdr:colOff>38100</xdr:colOff>
                    <xdr:row>0</xdr:row>
                    <xdr:rowOff>19050</xdr:rowOff>
                  </from>
                  <to>
                    <xdr:col>13</xdr:col>
                    <xdr:colOff>342900</xdr:colOff>
                    <xdr:row>0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D217-4EE3-4C73-85AE-48953E4DF82E}">
  <dimension ref="A1:Z120"/>
  <sheetViews>
    <sheetView showGridLines="0" topLeftCell="A4" zoomScale="71" zoomScaleNormal="71" workbookViewId="0">
      <selection activeCell="N10" sqref="N10"/>
    </sheetView>
  </sheetViews>
  <sheetFormatPr defaultColWidth="9.140625" defaultRowHeight="15"/>
  <cols>
    <col min="1" max="1" width="40.85546875" customWidth="1"/>
    <col min="2" max="2" width="21.7109375" bestFit="1" customWidth="1"/>
    <col min="3" max="3" width="49.42578125" bestFit="1" customWidth="1"/>
    <col min="4" max="4" width="45.42578125" bestFit="1" customWidth="1"/>
    <col min="5" max="5" width="12.42578125" bestFit="1" customWidth="1"/>
    <col min="7" max="7" width="11.42578125" bestFit="1" customWidth="1"/>
    <col min="8" max="8" width="10" bestFit="1" customWidth="1"/>
  </cols>
  <sheetData>
    <row r="1" spans="1:26" ht="46.5">
      <c r="A1" s="59" t="s">
        <v>1044</v>
      </c>
      <c r="B1" s="58"/>
      <c r="C1" s="58"/>
      <c r="D1" s="58"/>
      <c r="E1" s="58"/>
      <c r="F1" s="58"/>
      <c r="G1" s="58"/>
      <c r="H1" s="58"/>
      <c r="I1" s="58"/>
      <c r="J1" s="58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6.25">
      <c r="A3" s="14" t="s">
        <v>367</v>
      </c>
      <c r="B3" s="14" t="s">
        <v>92</v>
      </c>
      <c r="C3" s="14" t="s">
        <v>68</v>
      </c>
      <c r="D3" s="14" t="s">
        <v>434</v>
      </c>
      <c r="E3" s="14" t="s">
        <v>435</v>
      </c>
      <c r="F3" s="14" t="s">
        <v>436</v>
      </c>
      <c r="G3" s="14" t="s">
        <v>437</v>
      </c>
      <c r="H3" s="14" t="s">
        <v>73</v>
      </c>
      <c r="I3" s="14" t="s">
        <v>438</v>
      </c>
      <c r="J3" s="14" t="s">
        <v>32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51.75">
      <c r="A4" s="11" t="s">
        <v>368</v>
      </c>
      <c r="B4" s="11" t="s">
        <v>98</v>
      </c>
      <c r="C4" s="12">
        <v>40983</v>
      </c>
      <c r="D4" s="11" t="s">
        <v>439</v>
      </c>
      <c r="E4" s="11" t="s">
        <v>440</v>
      </c>
      <c r="F4" s="11" t="s">
        <v>441</v>
      </c>
      <c r="G4" s="11" t="s">
        <v>442</v>
      </c>
      <c r="H4" s="11" t="s">
        <v>443</v>
      </c>
      <c r="I4" s="11" t="s">
        <v>444</v>
      </c>
      <c r="J4" s="11" t="s">
        <v>27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77.25">
      <c r="A5" s="11" t="s">
        <v>374</v>
      </c>
      <c r="B5" s="11" t="s">
        <v>445</v>
      </c>
      <c r="C5" s="12">
        <v>41263</v>
      </c>
      <c r="D5" s="11" t="s">
        <v>446</v>
      </c>
      <c r="E5" s="11" t="s">
        <v>447</v>
      </c>
      <c r="F5" s="11" t="s">
        <v>448</v>
      </c>
      <c r="G5" s="11" t="s">
        <v>449</v>
      </c>
      <c r="H5" s="11" t="s">
        <v>450</v>
      </c>
      <c r="I5" s="11" t="s">
        <v>451</v>
      </c>
      <c r="J5" s="11" t="s">
        <v>37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64.5">
      <c r="A6" s="11" t="s">
        <v>385</v>
      </c>
      <c r="B6" s="11" t="s">
        <v>452</v>
      </c>
      <c r="C6" s="12">
        <v>41925</v>
      </c>
      <c r="D6" s="11" t="s">
        <v>453</v>
      </c>
      <c r="E6" s="11" t="s">
        <v>454</v>
      </c>
      <c r="F6" s="11" t="s">
        <v>455</v>
      </c>
      <c r="G6" s="11" t="s">
        <v>456</v>
      </c>
      <c r="H6" s="11" t="s">
        <v>443</v>
      </c>
      <c r="I6" s="11" t="s">
        <v>457</v>
      </c>
      <c r="J6" s="11" t="s">
        <v>110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51.75">
      <c r="A7" s="11" t="s">
        <v>397</v>
      </c>
      <c r="B7" s="11" t="s">
        <v>121</v>
      </c>
      <c r="C7" s="12">
        <v>42277</v>
      </c>
      <c r="D7" s="11" t="s">
        <v>458</v>
      </c>
      <c r="E7" s="11" t="s">
        <v>459</v>
      </c>
      <c r="F7" s="11" t="s">
        <v>460</v>
      </c>
      <c r="G7" s="11" t="s">
        <v>461</v>
      </c>
      <c r="H7" s="11" t="s">
        <v>443</v>
      </c>
      <c r="I7" s="11" t="s">
        <v>462</v>
      </c>
      <c r="J7" s="11" t="s">
        <v>124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64.5">
      <c r="A8" s="11" t="s">
        <v>405</v>
      </c>
      <c r="B8" s="11" t="s">
        <v>24</v>
      </c>
      <c r="C8" s="12">
        <v>42579</v>
      </c>
      <c r="D8" s="11" t="s">
        <v>463</v>
      </c>
      <c r="E8" s="11" t="s">
        <v>464</v>
      </c>
      <c r="F8" s="11" t="s">
        <v>465</v>
      </c>
      <c r="G8" s="11" t="s">
        <v>466</v>
      </c>
      <c r="H8" s="11" t="s">
        <v>443</v>
      </c>
      <c r="I8" s="11" t="s">
        <v>467</v>
      </c>
      <c r="J8" s="11" t="s">
        <v>24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77.25">
      <c r="A9" s="11" t="s">
        <v>414</v>
      </c>
      <c r="B9" s="11" t="s">
        <v>468</v>
      </c>
      <c r="C9" s="12">
        <v>42400</v>
      </c>
      <c r="D9" s="11" t="s">
        <v>469</v>
      </c>
      <c r="E9" s="11" t="s">
        <v>470</v>
      </c>
      <c r="F9" s="11" t="s">
        <v>471</v>
      </c>
      <c r="G9" s="11" t="s">
        <v>472</v>
      </c>
      <c r="H9" s="11" t="s">
        <v>473</v>
      </c>
      <c r="I9" s="11" t="s">
        <v>474</v>
      </c>
      <c r="J9" s="11" t="s">
        <v>77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51.75">
      <c r="A10" s="11" t="s">
        <v>475</v>
      </c>
      <c r="B10" s="11" t="s">
        <v>476</v>
      </c>
      <c r="C10" s="12">
        <v>42816</v>
      </c>
      <c r="D10" s="11" t="s">
        <v>477</v>
      </c>
      <c r="E10" s="11" t="s">
        <v>478</v>
      </c>
      <c r="F10" s="11" t="s">
        <v>479</v>
      </c>
      <c r="G10" s="11" t="s">
        <v>480</v>
      </c>
      <c r="H10" s="11" t="s">
        <v>336</v>
      </c>
      <c r="I10" s="11" t="s">
        <v>481</v>
      </c>
      <c r="J10" s="11" t="s">
        <v>147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6.25">
      <c r="A12" s="14" t="s">
        <v>482</v>
      </c>
      <c r="B12" s="14" t="s">
        <v>162</v>
      </c>
      <c r="C12" s="14" t="s">
        <v>30</v>
      </c>
      <c r="D12" s="14" t="s">
        <v>483</v>
      </c>
      <c r="E12" s="14" t="s">
        <v>484</v>
      </c>
      <c r="F12" s="14" t="s">
        <v>485</v>
      </c>
      <c r="G12" s="14" t="s">
        <v>486</v>
      </c>
      <c r="H12" s="14" t="s">
        <v>487</v>
      </c>
      <c r="I12" s="14" t="s">
        <v>32</v>
      </c>
      <c r="J12" s="14" t="s">
        <v>8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25">
      <c r="A13" s="11" t="s">
        <v>31</v>
      </c>
      <c r="B13" s="11" t="s">
        <v>488</v>
      </c>
      <c r="C13" s="11" t="s">
        <v>489</v>
      </c>
      <c r="D13" s="11" t="s">
        <v>490</v>
      </c>
      <c r="E13" s="11" t="s">
        <v>443</v>
      </c>
      <c r="F13" s="11">
        <v>0</v>
      </c>
      <c r="G13" s="11" t="s">
        <v>491</v>
      </c>
      <c r="H13" s="11" t="s">
        <v>492</v>
      </c>
      <c r="I13" s="11" t="s">
        <v>37</v>
      </c>
      <c r="J13" s="11" t="s">
        <v>380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9">
      <c r="A14" s="11" t="s">
        <v>57</v>
      </c>
      <c r="B14" s="11" t="s">
        <v>176</v>
      </c>
      <c r="C14" s="11" t="s">
        <v>493</v>
      </c>
      <c r="D14" s="11" t="s">
        <v>494</v>
      </c>
      <c r="E14" s="11" t="s">
        <v>443</v>
      </c>
      <c r="F14" s="11">
        <v>1</v>
      </c>
      <c r="G14" s="11" t="s">
        <v>495</v>
      </c>
      <c r="H14" s="11" t="s">
        <v>492</v>
      </c>
      <c r="I14" s="11" t="s">
        <v>55</v>
      </c>
      <c r="J14" s="11" t="s">
        <v>380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 t="s">
        <v>58</v>
      </c>
      <c r="B15" s="11" t="s">
        <v>194</v>
      </c>
      <c r="C15" s="11" t="s">
        <v>496</v>
      </c>
      <c r="D15" s="11" t="s">
        <v>497</v>
      </c>
      <c r="E15" s="11" t="s">
        <v>443</v>
      </c>
      <c r="F15" s="11">
        <v>0</v>
      </c>
      <c r="G15" s="11" t="s">
        <v>491</v>
      </c>
      <c r="H15" s="11" t="s">
        <v>492</v>
      </c>
      <c r="I15" s="11" t="s">
        <v>55</v>
      </c>
      <c r="J15" s="11" t="s">
        <v>380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51.75">
      <c r="A16" s="11" t="s">
        <v>59</v>
      </c>
      <c r="B16" s="11" t="s">
        <v>498</v>
      </c>
      <c r="C16" s="11" t="s">
        <v>499</v>
      </c>
      <c r="D16" s="11" t="s">
        <v>497</v>
      </c>
      <c r="E16" s="11" t="s">
        <v>443</v>
      </c>
      <c r="F16" s="11">
        <v>2</v>
      </c>
      <c r="G16" s="11" t="s">
        <v>500</v>
      </c>
      <c r="H16" s="11" t="s">
        <v>501</v>
      </c>
      <c r="I16" s="11" t="s">
        <v>39</v>
      </c>
      <c r="J16" s="11" t="s">
        <v>380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9">
      <c r="A17" s="11" t="s">
        <v>60</v>
      </c>
      <c r="B17" s="11" t="s">
        <v>502</v>
      </c>
      <c r="C17" s="11" t="s">
        <v>503</v>
      </c>
      <c r="D17" s="11" t="s">
        <v>504</v>
      </c>
      <c r="E17" s="11" t="s">
        <v>505</v>
      </c>
      <c r="F17" s="11">
        <v>1</v>
      </c>
      <c r="G17" s="11" t="s">
        <v>506</v>
      </c>
      <c r="H17" s="11" t="s">
        <v>507</v>
      </c>
      <c r="I17" s="11" t="s">
        <v>147</v>
      </c>
      <c r="J17" s="11" t="s">
        <v>508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 t="s">
        <v>61</v>
      </c>
      <c r="B18" s="11" t="s">
        <v>229</v>
      </c>
      <c r="C18" s="11" t="s">
        <v>509</v>
      </c>
      <c r="D18" s="11" t="s">
        <v>510</v>
      </c>
      <c r="E18" s="11" t="s">
        <v>443</v>
      </c>
      <c r="F18" s="11">
        <v>0</v>
      </c>
      <c r="G18" s="11" t="s">
        <v>491</v>
      </c>
      <c r="H18" s="11" t="s">
        <v>492</v>
      </c>
      <c r="I18" s="11" t="s">
        <v>56</v>
      </c>
      <c r="J18" s="11" t="s">
        <v>380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 t="s">
        <v>62</v>
      </c>
      <c r="B19" s="11" t="s">
        <v>511</v>
      </c>
      <c r="C19" s="11" t="s">
        <v>512</v>
      </c>
      <c r="D19" s="11" t="s">
        <v>513</v>
      </c>
      <c r="E19" s="11" t="s">
        <v>443</v>
      </c>
      <c r="F19" s="11">
        <v>0</v>
      </c>
      <c r="G19" s="11" t="s">
        <v>491</v>
      </c>
      <c r="H19" s="11" t="s">
        <v>492</v>
      </c>
      <c r="I19" s="11" t="s">
        <v>78</v>
      </c>
      <c r="J19" s="11" t="s">
        <v>380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6.25">
      <c r="A20" s="11" t="s">
        <v>63</v>
      </c>
      <c r="B20" s="11" t="s">
        <v>514</v>
      </c>
      <c r="C20" s="11" t="s">
        <v>515</v>
      </c>
      <c r="D20" s="11" t="s">
        <v>516</v>
      </c>
      <c r="E20" s="11" t="s">
        <v>517</v>
      </c>
      <c r="F20" s="11">
        <v>2</v>
      </c>
      <c r="G20" s="11" t="s">
        <v>518</v>
      </c>
      <c r="H20" s="11" t="s">
        <v>519</v>
      </c>
      <c r="I20" s="11" t="s">
        <v>71</v>
      </c>
      <c r="J20" s="11" t="s">
        <v>380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6.25">
      <c r="A21" s="11" t="s">
        <v>64</v>
      </c>
      <c r="B21" s="11" t="s">
        <v>520</v>
      </c>
      <c r="C21" s="11" t="s">
        <v>521</v>
      </c>
      <c r="D21" s="11" t="s">
        <v>522</v>
      </c>
      <c r="E21" s="11" t="s">
        <v>443</v>
      </c>
      <c r="F21" s="11">
        <v>0</v>
      </c>
      <c r="G21" s="11" t="s">
        <v>523</v>
      </c>
      <c r="H21" s="11" t="s">
        <v>524</v>
      </c>
      <c r="I21" s="11" t="s">
        <v>70</v>
      </c>
      <c r="J21" s="11" t="s">
        <v>380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6.25">
      <c r="A22" s="11" t="s">
        <v>65</v>
      </c>
      <c r="B22" s="11" t="s">
        <v>525</v>
      </c>
      <c r="C22" s="11" t="s">
        <v>526</v>
      </c>
      <c r="D22" s="11" t="s">
        <v>527</v>
      </c>
      <c r="E22" s="11" t="s">
        <v>443</v>
      </c>
      <c r="F22" s="11">
        <v>0</v>
      </c>
      <c r="G22" s="11" t="s">
        <v>528</v>
      </c>
      <c r="H22" s="11" t="s">
        <v>529</v>
      </c>
      <c r="I22" s="11" t="s">
        <v>47</v>
      </c>
      <c r="J22" s="11" t="s">
        <v>25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9">
      <c r="A23" s="11" t="s">
        <v>66</v>
      </c>
      <c r="B23" s="11" t="s">
        <v>530</v>
      </c>
      <c r="C23" s="11" t="s">
        <v>531</v>
      </c>
      <c r="D23" s="11" t="s">
        <v>532</v>
      </c>
      <c r="E23" s="11" t="s">
        <v>443</v>
      </c>
      <c r="F23" s="11">
        <v>0</v>
      </c>
      <c r="G23" s="11" t="s">
        <v>533</v>
      </c>
      <c r="H23" s="11" t="s">
        <v>529</v>
      </c>
      <c r="I23" s="11" t="s">
        <v>534</v>
      </c>
      <c r="J23" s="11" t="s">
        <v>25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6.25">
      <c r="A24" s="11" t="s">
        <v>67</v>
      </c>
      <c r="B24" s="11" t="s">
        <v>535</v>
      </c>
      <c r="C24" s="11" t="s">
        <v>536</v>
      </c>
      <c r="D24" s="11" t="s">
        <v>537</v>
      </c>
      <c r="E24" s="11" t="s">
        <v>443</v>
      </c>
      <c r="F24" s="11">
        <v>0</v>
      </c>
      <c r="G24" s="11" t="s">
        <v>538</v>
      </c>
      <c r="H24" s="11" t="s">
        <v>539</v>
      </c>
      <c r="I24" s="11" t="s">
        <v>147</v>
      </c>
      <c r="J24" s="11" t="s">
        <v>380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6.25">
      <c r="A25" s="11" t="s">
        <v>540</v>
      </c>
      <c r="B25" s="11" t="s">
        <v>541</v>
      </c>
      <c r="C25" s="11" t="s">
        <v>542</v>
      </c>
      <c r="D25" s="11" t="s">
        <v>543</v>
      </c>
      <c r="E25" s="11" t="s">
        <v>443</v>
      </c>
      <c r="F25" s="11">
        <v>0</v>
      </c>
      <c r="G25" s="11" t="s">
        <v>544</v>
      </c>
      <c r="H25" s="11" t="s">
        <v>492</v>
      </c>
      <c r="I25" s="11" t="s">
        <v>70</v>
      </c>
      <c r="J25" s="11" t="s">
        <v>380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6.25">
      <c r="A26" s="11" t="s">
        <v>545</v>
      </c>
      <c r="B26" s="11" t="s">
        <v>546</v>
      </c>
      <c r="C26" s="11" t="s">
        <v>547</v>
      </c>
      <c r="D26" s="11" t="s">
        <v>548</v>
      </c>
      <c r="E26" s="11" t="s">
        <v>443</v>
      </c>
      <c r="F26" s="11">
        <v>0</v>
      </c>
      <c r="G26" s="11" t="s">
        <v>549</v>
      </c>
      <c r="H26" s="11" t="s">
        <v>85</v>
      </c>
      <c r="I26" s="11" t="s">
        <v>27</v>
      </c>
      <c r="J26" s="11" t="s">
        <v>25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s="9" customForma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s="9" customForma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s="9" customForma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s="9" customForma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s="9" customForma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s="9" customForma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54F2-2B73-4E7E-AF2B-3FEA1246EB72}">
  <dimension ref="A1:R76"/>
  <sheetViews>
    <sheetView workbookViewId="0">
      <selection activeCell="C9" sqref="C9"/>
    </sheetView>
  </sheetViews>
  <sheetFormatPr defaultColWidth="8.85546875" defaultRowHeight="15"/>
  <cols>
    <col min="1" max="1" width="6.85546875" bestFit="1" customWidth="1"/>
    <col min="2" max="2" width="13.28515625" bestFit="1" customWidth="1"/>
    <col min="3" max="3" width="69.42578125" bestFit="1" customWidth="1"/>
    <col min="4" max="4" width="10.28515625" bestFit="1" customWidth="1"/>
    <col min="5" max="6" width="9.7109375" bestFit="1" customWidth="1"/>
    <col min="7" max="7" width="58" bestFit="1" customWidth="1"/>
    <col min="8" max="8" width="15.7109375" bestFit="1" customWidth="1"/>
    <col min="9" max="9" width="39.5703125" bestFit="1" customWidth="1"/>
    <col min="10" max="10" width="13.85546875" bestFit="1" customWidth="1"/>
    <col min="11" max="11" width="10.7109375" bestFit="1" customWidth="1"/>
    <col min="12" max="12" width="10" bestFit="1" customWidth="1"/>
    <col min="13" max="13" width="32.140625" bestFit="1" customWidth="1"/>
  </cols>
  <sheetData>
    <row r="1" spans="1:15">
      <c r="A1" s="57" t="s">
        <v>1120</v>
      </c>
      <c r="B1" s="57"/>
      <c r="C1" s="57"/>
      <c r="D1" s="56"/>
      <c r="E1" s="56"/>
      <c r="F1" s="56"/>
      <c r="G1" s="56"/>
      <c r="H1" s="56"/>
    </row>
    <row r="3" spans="1:15">
      <c r="A3" t="s">
        <v>550</v>
      </c>
      <c r="B3" t="s">
        <v>21</v>
      </c>
      <c r="C3" t="s">
        <v>551</v>
      </c>
      <c r="D3" t="s">
        <v>552</v>
      </c>
      <c r="E3" t="s">
        <v>553</v>
      </c>
      <c r="F3" t="s">
        <v>554</v>
      </c>
      <c r="G3" t="s">
        <v>555</v>
      </c>
      <c r="H3" t="s">
        <v>556</v>
      </c>
      <c r="I3" t="s">
        <v>557</v>
      </c>
      <c r="J3" t="s">
        <v>558</v>
      </c>
      <c r="K3" t="s">
        <v>559</v>
      </c>
      <c r="L3" t="s">
        <v>560</v>
      </c>
      <c r="M3" t="s">
        <v>561</v>
      </c>
      <c r="N3" t="s">
        <v>562</v>
      </c>
      <c r="O3" t="s">
        <v>563</v>
      </c>
    </row>
    <row r="4" spans="1:15">
      <c r="A4" t="s">
        <v>564</v>
      </c>
      <c r="B4" t="s">
        <v>3</v>
      </c>
      <c r="C4" t="s">
        <v>565</v>
      </c>
      <c r="D4" s="10">
        <v>42510</v>
      </c>
      <c r="E4" t="s">
        <v>566</v>
      </c>
      <c r="F4">
        <v>0.26</v>
      </c>
      <c r="G4">
        <v>0.98199999999999998</v>
      </c>
      <c r="H4">
        <f t="shared" ref="H4:H9" si="0">F4*8760*G4/1000</f>
        <v>2.2366032000000002</v>
      </c>
      <c r="I4">
        <v>1.24</v>
      </c>
      <c r="J4" t="s">
        <v>567</v>
      </c>
      <c r="K4" t="s">
        <v>443</v>
      </c>
      <c r="L4" t="s">
        <v>443</v>
      </c>
      <c r="M4" t="s">
        <v>443</v>
      </c>
      <c r="N4" t="s">
        <v>13</v>
      </c>
      <c r="O4" t="s">
        <v>568</v>
      </c>
    </row>
    <row r="5" spans="1:15">
      <c r="A5" t="s">
        <v>569</v>
      </c>
      <c r="B5" t="s">
        <v>3</v>
      </c>
      <c r="C5" t="s">
        <v>565</v>
      </c>
      <c r="D5" s="10">
        <v>42531</v>
      </c>
      <c r="E5" t="s">
        <v>566</v>
      </c>
      <c r="F5">
        <v>0.24</v>
      </c>
      <c r="G5">
        <v>0.97599999999999998</v>
      </c>
      <c r="H5">
        <f t="shared" si="0"/>
        <v>2.0519423999999997</v>
      </c>
      <c r="I5">
        <v>1.18</v>
      </c>
      <c r="J5" t="s">
        <v>570</v>
      </c>
      <c r="K5" t="s">
        <v>443</v>
      </c>
      <c r="L5" t="s">
        <v>443</v>
      </c>
      <c r="M5" t="s">
        <v>443</v>
      </c>
      <c r="N5" t="s">
        <v>13</v>
      </c>
      <c r="O5" t="s">
        <v>571</v>
      </c>
    </row>
    <row r="6" spans="1:15">
      <c r="A6" t="s">
        <v>572</v>
      </c>
      <c r="B6" t="s">
        <v>3</v>
      </c>
      <c r="C6" t="s">
        <v>565</v>
      </c>
      <c r="D6" s="10">
        <v>42559</v>
      </c>
      <c r="E6" t="s">
        <v>566</v>
      </c>
      <c r="F6">
        <v>0.25</v>
      </c>
      <c r="G6">
        <v>0.98899999999999999</v>
      </c>
      <c r="H6">
        <f t="shared" si="0"/>
        <v>2.1659099999999998</v>
      </c>
      <c r="I6">
        <v>1.25</v>
      </c>
      <c r="J6" t="s">
        <v>573</v>
      </c>
      <c r="K6" t="s">
        <v>443</v>
      </c>
      <c r="L6" t="s">
        <v>443</v>
      </c>
      <c r="M6" t="s">
        <v>443</v>
      </c>
      <c r="N6" t="s">
        <v>13</v>
      </c>
      <c r="O6" t="s">
        <v>574</v>
      </c>
    </row>
    <row r="7" spans="1:15">
      <c r="A7" t="s">
        <v>575</v>
      </c>
      <c r="B7" t="s">
        <v>3</v>
      </c>
      <c r="C7" t="s">
        <v>565</v>
      </c>
      <c r="D7" s="10">
        <v>42594</v>
      </c>
      <c r="E7" t="s">
        <v>566</v>
      </c>
      <c r="F7">
        <v>0.28000000000000003</v>
      </c>
      <c r="G7">
        <v>0.97099999999999997</v>
      </c>
      <c r="H7">
        <f t="shared" si="0"/>
        <v>2.3816687999999999</v>
      </c>
      <c r="I7">
        <v>1.3</v>
      </c>
      <c r="J7" t="s">
        <v>576</v>
      </c>
      <c r="K7" t="s">
        <v>443</v>
      </c>
      <c r="L7" t="s">
        <v>443</v>
      </c>
      <c r="M7" t="s">
        <v>443</v>
      </c>
      <c r="N7" t="s">
        <v>12</v>
      </c>
      <c r="O7" t="s">
        <v>577</v>
      </c>
    </row>
    <row r="8" spans="1:15">
      <c r="A8" t="s">
        <v>578</v>
      </c>
      <c r="B8" t="s">
        <v>3</v>
      </c>
      <c r="C8" t="s">
        <v>565</v>
      </c>
      <c r="D8" s="10">
        <v>42629</v>
      </c>
      <c r="E8" t="s">
        <v>566</v>
      </c>
      <c r="F8">
        <v>0.23</v>
      </c>
      <c r="G8">
        <v>0.96799999999999997</v>
      </c>
      <c r="H8">
        <f t="shared" si="0"/>
        <v>1.9503264000000002</v>
      </c>
      <c r="I8">
        <v>1.1599999999999999</v>
      </c>
      <c r="J8" t="s">
        <v>579</v>
      </c>
      <c r="K8" t="s">
        <v>443</v>
      </c>
      <c r="L8" t="s">
        <v>443</v>
      </c>
      <c r="M8" t="s">
        <v>443</v>
      </c>
      <c r="N8" t="s">
        <v>12</v>
      </c>
      <c r="O8" t="s">
        <v>580</v>
      </c>
    </row>
    <row r="9" spans="1:15">
      <c r="A9" t="s">
        <v>581</v>
      </c>
      <c r="B9" t="s">
        <v>3</v>
      </c>
      <c r="C9" t="s">
        <v>565</v>
      </c>
      <c r="D9" s="10">
        <v>42657</v>
      </c>
      <c r="E9" t="s">
        <v>566</v>
      </c>
      <c r="F9">
        <v>0.25</v>
      </c>
      <c r="G9">
        <v>0.98099999999999998</v>
      </c>
      <c r="H9">
        <f t="shared" si="0"/>
        <v>2.14839</v>
      </c>
      <c r="I9">
        <v>1.22</v>
      </c>
      <c r="J9" t="s">
        <v>582</v>
      </c>
      <c r="K9" t="s">
        <v>443</v>
      </c>
      <c r="L9" t="s">
        <v>443</v>
      </c>
      <c r="M9" t="s">
        <v>443</v>
      </c>
      <c r="N9" t="s">
        <v>13</v>
      </c>
      <c r="O9" t="s">
        <v>583</v>
      </c>
    </row>
    <row r="10" spans="1:15">
      <c r="A10" t="s">
        <v>584</v>
      </c>
      <c r="B10" t="s">
        <v>3</v>
      </c>
      <c r="C10" t="s">
        <v>585</v>
      </c>
      <c r="D10" t="s">
        <v>29</v>
      </c>
      <c r="E10" t="s">
        <v>586</v>
      </c>
      <c r="F10">
        <v>0</v>
      </c>
      <c r="G10">
        <v>0</v>
      </c>
      <c r="H10">
        <v>0</v>
      </c>
      <c r="I10">
        <v>0</v>
      </c>
      <c r="J10" t="s">
        <v>587</v>
      </c>
      <c r="K10" t="s">
        <v>588</v>
      </c>
      <c r="L10" t="s">
        <v>29</v>
      </c>
      <c r="M10" t="s">
        <v>29</v>
      </c>
      <c r="N10" t="s">
        <v>380</v>
      </c>
      <c r="O10" t="s">
        <v>589</v>
      </c>
    </row>
    <row r="11" spans="1:15">
      <c r="A11" t="s">
        <v>590</v>
      </c>
      <c r="B11" t="s">
        <v>52</v>
      </c>
      <c r="C11" t="s">
        <v>565</v>
      </c>
      <c r="D11" s="10">
        <v>42692</v>
      </c>
      <c r="E11" t="s">
        <v>566</v>
      </c>
      <c r="F11">
        <v>0.27</v>
      </c>
      <c r="G11">
        <v>0.96299999999999997</v>
      </c>
      <c r="H11">
        <f>F11*8760*G11/1000</f>
        <v>2.2776876000000001</v>
      </c>
      <c r="I11">
        <v>1.29</v>
      </c>
      <c r="J11" t="s">
        <v>591</v>
      </c>
      <c r="K11" t="s">
        <v>443</v>
      </c>
      <c r="L11" t="s">
        <v>443</v>
      </c>
      <c r="M11" t="s">
        <v>443</v>
      </c>
      <c r="N11" t="s">
        <v>12</v>
      </c>
      <c r="O11" t="s">
        <v>592</v>
      </c>
    </row>
    <row r="12" spans="1:15">
      <c r="A12" t="s">
        <v>537</v>
      </c>
      <c r="B12" t="s">
        <v>52</v>
      </c>
      <c r="C12" t="s">
        <v>593</v>
      </c>
      <c r="D12" s="10">
        <v>42755</v>
      </c>
      <c r="E12" t="s">
        <v>594</v>
      </c>
      <c r="F12">
        <v>0.25</v>
      </c>
      <c r="G12">
        <v>0</v>
      </c>
      <c r="H12">
        <v>0</v>
      </c>
      <c r="I12">
        <v>1.08</v>
      </c>
      <c r="J12" t="s">
        <v>595</v>
      </c>
      <c r="K12" t="s">
        <v>443</v>
      </c>
      <c r="L12" t="s">
        <v>443</v>
      </c>
      <c r="M12" t="s">
        <v>588</v>
      </c>
      <c r="N12" t="s">
        <v>380</v>
      </c>
      <c r="O12" t="s">
        <v>596</v>
      </c>
    </row>
    <row r="13" spans="1:15">
      <c r="A13" t="s">
        <v>597</v>
      </c>
      <c r="B13" t="s">
        <v>52</v>
      </c>
      <c r="C13" t="s">
        <v>565</v>
      </c>
      <c r="D13" s="10">
        <v>42783</v>
      </c>
      <c r="E13" t="s">
        <v>566</v>
      </c>
      <c r="F13">
        <v>0.24</v>
      </c>
      <c r="G13">
        <v>0.97399999999999998</v>
      </c>
      <c r="H13">
        <f>F13*8760*G13/1000</f>
        <v>2.0477376</v>
      </c>
      <c r="I13">
        <v>1.21</v>
      </c>
      <c r="J13" t="s">
        <v>598</v>
      </c>
      <c r="K13" t="s">
        <v>443</v>
      </c>
      <c r="L13" t="s">
        <v>443</v>
      </c>
      <c r="M13" t="s">
        <v>443</v>
      </c>
      <c r="N13" t="s">
        <v>13</v>
      </c>
      <c r="O13" t="s">
        <v>599</v>
      </c>
    </row>
    <row r="14" spans="1:15">
      <c r="A14" t="s">
        <v>600</v>
      </c>
      <c r="B14" t="s">
        <v>52</v>
      </c>
      <c r="C14" t="s">
        <v>565</v>
      </c>
      <c r="D14" s="10">
        <v>42811</v>
      </c>
      <c r="E14" t="s">
        <v>566</v>
      </c>
      <c r="F14">
        <v>0.26</v>
      </c>
      <c r="G14">
        <v>0.96599999999999997</v>
      </c>
      <c r="H14">
        <f>F14*8760*G14/1000</f>
        <v>2.2001615999999999</v>
      </c>
      <c r="I14">
        <v>1.26</v>
      </c>
      <c r="J14" t="s">
        <v>601</v>
      </c>
      <c r="K14" t="s">
        <v>443</v>
      </c>
      <c r="L14" t="s">
        <v>443</v>
      </c>
      <c r="M14" t="s">
        <v>443</v>
      </c>
      <c r="N14" t="s">
        <v>12</v>
      </c>
      <c r="O14" t="s">
        <v>602</v>
      </c>
    </row>
    <row r="15" spans="1:15">
      <c r="A15" t="s">
        <v>603</v>
      </c>
      <c r="B15" t="s">
        <v>52</v>
      </c>
      <c r="C15" t="s">
        <v>585</v>
      </c>
      <c r="D15" t="s">
        <v>29</v>
      </c>
      <c r="E15" t="s">
        <v>586</v>
      </c>
      <c r="F15">
        <v>0</v>
      </c>
      <c r="G15">
        <v>0</v>
      </c>
      <c r="H15">
        <v>0</v>
      </c>
      <c r="I15">
        <v>0</v>
      </c>
      <c r="J15" t="s">
        <v>604</v>
      </c>
      <c r="K15" t="s">
        <v>588</v>
      </c>
      <c r="L15" t="s">
        <v>29</v>
      </c>
      <c r="M15" t="s">
        <v>29</v>
      </c>
      <c r="N15" t="s">
        <v>380</v>
      </c>
      <c r="O15" t="s">
        <v>589</v>
      </c>
    </row>
    <row r="16" spans="1:15">
      <c r="A16" t="s">
        <v>605</v>
      </c>
      <c r="B16" t="s">
        <v>52</v>
      </c>
      <c r="C16" t="s">
        <v>565</v>
      </c>
      <c r="D16" s="10">
        <v>42846</v>
      </c>
      <c r="E16" t="s">
        <v>566</v>
      </c>
      <c r="F16">
        <v>0.24</v>
      </c>
      <c r="G16">
        <v>0.98599999999999999</v>
      </c>
      <c r="H16">
        <f>F16*8760*G16/1000</f>
        <v>2.0729664000000003</v>
      </c>
      <c r="I16">
        <v>1.2</v>
      </c>
      <c r="J16" t="s">
        <v>606</v>
      </c>
      <c r="K16" t="s">
        <v>443</v>
      </c>
      <c r="L16" t="s">
        <v>443</v>
      </c>
      <c r="M16" t="s">
        <v>443</v>
      </c>
      <c r="N16" t="s">
        <v>13</v>
      </c>
      <c r="O16" t="s">
        <v>607</v>
      </c>
    </row>
    <row r="17" spans="1:15">
      <c r="A17" t="s">
        <v>608</v>
      </c>
      <c r="B17" t="s">
        <v>52</v>
      </c>
      <c r="C17" t="s">
        <v>565</v>
      </c>
      <c r="D17" s="10">
        <v>42874</v>
      </c>
      <c r="E17" t="s">
        <v>566</v>
      </c>
      <c r="F17">
        <v>0.23</v>
      </c>
      <c r="G17">
        <v>0.97899999999999998</v>
      </c>
      <c r="H17">
        <f>F17*8760*G17/1000</f>
        <v>1.9724892000000003</v>
      </c>
      <c r="I17">
        <v>1.19</v>
      </c>
      <c r="J17" t="s">
        <v>609</v>
      </c>
      <c r="K17" t="s">
        <v>443</v>
      </c>
      <c r="L17" t="s">
        <v>443</v>
      </c>
      <c r="M17" t="s">
        <v>443</v>
      </c>
      <c r="N17" t="s">
        <v>13</v>
      </c>
      <c r="O17" t="s">
        <v>610</v>
      </c>
    </row>
    <row r="20" spans="1:15">
      <c r="A20" t="s">
        <v>35</v>
      </c>
      <c r="B20" t="s">
        <v>611</v>
      </c>
      <c r="C20" t="s">
        <v>612</v>
      </c>
      <c r="D20" t="s">
        <v>613</v>
      </c>
      <c r="E20" t="s">
        <v>614</v>
      </c>
      <c r="F20" t="s">
        <v>615</v>
      </c>
      <c r="G20" t="s">
        <v>616</v>
      </c>
      <c r="H20" t="s">
        <v>8</v>
      </c>
      <c r="J20" t="s">
        <v>661</v>
      </c>
      <c r="K20" t="s">
        <v>662</v>
      </c>
      <c r="L20" t="s">
        <v>663</v>
      </c>
      <c r="M20" t="s">
        <v>8</v>
      </c>
    </row>
    <row r="21" spans="1:15">
      <c r="A21" t="s">
        <v>36</v>
      </c>
      <c r="B21" t="s">
        <v>617</v>
      </c>
      <c r="C21" t="s">
        <v>618</v>
      </c>
      <c r="D21" t="s">
        <v>12</v>
      </c>
      <c r="E21" t="s">
        <v>11</v>
      </c>
      <c r="F21" t="s">
        <v>11</v>
      </c>
      <c r="G21" t="s">
        <v>619</v>
      </c>
      <c r="H21" t="s">
        <v>620</v>
      </c>
      <c r="J21" t="s">
        <v>664</v>
      </c>
      <c r="K21">
        <v>14</v>
      </c>
      <c r="L21" t="s">
        <v>665</v>
      </c>
      <c r="M21" t="s">
        <v>267</v>
      </c>
    </row>
    <row r="22" spans="1:15">
      <c r="A22" t="s">
        <v>38</v>
      </c>
      <c r="B22" t="s">
        <v>39</v>
      </c>
      <c r="C22" t="s">
        <v>621</v>
      </c>
      <c r="D22" t="s">
        <v>12</v>
      </c>
      <c r="E22" t="s">
        <v>11</v>
      </c>
      <c r="F22" t="s">
        <v>11</v>
      </c>
      <c r="G22" t="s">
        <v>622</v>
      </c>
      <c r="H22" t="s">
        <v>620</v>
      </c>
      <c r="J22" t="s">
        <v>666</v>
      </c>
      <c r="K22">
        <v>2</v>
      </c>
      <c r="L22" t="s">
        <v>667</v>
      </c>
      <c r="M22" t="s">
        <v>267</v>
      </c>
    </row>
    <row r="23" spans="1:15">
      <c r="A23" t="s">
        <v>40</v>
      </c>
      <c r="B23" t="s">
        <v>55</v>
      </c>
      <c r="C23" t="s">
        <v>623</v>
      </c>
      <c r="D23" t="s">
        <v>13</v>
      </c>
      <c r="E23" t="s">
        <v>11</v>
      </c>
      <c r="F23" t="s">
        <v>12</v>
      </c>
      <c r="G23" t="s">
        <v>624</v>
      </c>
      <c r="H23" t="s">
        <v>625</v>
      </c>
      <c r="J23" t="s">
        <v>668</v>
      </c>
      <c r="K23">
        <f>K21-K22</f>
        <v>12</v>
      </c>
      <c r="L23" t="s">
        <v>669</v>
      </c>
      <c r="M23" t="s">
        <v>267</v>
      </c>
    </row>
    <row r="24" spans="1:15">
      <c r="A24" t="s">
        <v>41</v>
      </c>
      <c r="B24" t="s">
        <v>71</v>
      </c>
      <c r="C24" t="s">
        <v>626</v>
      </c>
      <c r="D24" t="s">
        <v>13</v>
      </c>
      <c r="E24" t="s">
        <v>11</v>
      </c>
      <c r="F24" t="s">
        <v>12</v>
      </c>
      <c r="G24" t="s">
        <v>627</v>
      </c>
      <c r="H24" t="s">
        <v>380</v>
      </c>
      <c r="J24" t="s">
        <v>670</v>
      </c>
      <c r="K24">
        <v>1</v>
      </c>
      <c r="L24" t="s">
        <v>537</v>
      </c>
      <c r="M24" t="s">
        <v>380</v>
      </c>
    </row>
    <row r="25" spans="1:15">
      <c r="A25" t="s">
        <v>42</v>
      </c>
      <c r="B25" t="s">
        <v>56</v>
      </c>
      <c r="C25" t="s">
        <v>628</v>
      </c>
      <c r="D25" t="s">
        <v>13</v>
      </c>
      <c r="E25" t="s">
        <v>12</v>
      </c>
      <c r="F25" t="s">
        <v>13</v>
      </c>
      <c r="G25" t="s">
        <v>629</v>
      </c>
      <c r="H25" t="s">
        <v>625</v>
      </c>
      <c r="J25" t="s">
        <v>671</v>
      </c>
      <c r="K25">
        <f>COUNTIF(E4:E17,"Active")</f>
        <v>11</v>
      </c>
      <c r="L25" t="s">
        <v>672</v>
      </c>
      <c r="M25" t="s">
        <v>19</v>
      </c>
    </row>
    <row r="26" spans="1:15">
      <c r="A26" t="s">
        <v>43</v>
      </c>
      <c r="B26" t="s">
        <v>285</v>
      </c>
      <c r="C26" t="s">
        <v>630</v>
      </c>
      <c r="D26" t="s">
        <v>13</v>
      </c>
      <c r="E26" t="s">
        <v>11</v>
      </c>
      <c r="F26" t="s">
        <v>12</v>
      </c>
      <c r="G26" t="s">
        <v>631</v>
      </c>
      <c r="H26" t="s">
        <v>625</v>
      </c>
      <c r="J26" t="s">
        <v>673</v>
      </c>
      <c r="K26">
        <v>11</v>
      </c>
      <c r="L26" t="s">
        <v>674</v>
      </c>
      <c r="M26" t="s">
        <v>19</v>
      </c>
    </row>
    <row r="27" spans="1:15">
      <c r="A27" t="s">
        <v>44</v>
      </c>
      <c r="B27" t="s">
        <v>285</v>
      </c>
      <c r="C27" t="s">
        <v>632</v>
      </c>
      <c r="D27" t="s">
        <v>12</v>
      </c>
      <c r="E27" t="s">
        <v>12</v>
      </c>
      <c r="F27" t="s">
        <v>12</v>
      </c>
      <c r="G27" t="s">
        <v>633</v>
      </c>
      <c r="H27" t="s">
        <v>620</v>
      </c>
      <c r="J27" t="s">
        <v>675</v>
      </c>
      <c r="K27">
        <f>K25-K26</f>
        <v>0</v>
      </c>
      <c r="L27" t="s">
        <v>676</v>
      </c>
      <c r="M27" t="s">
        <v>19</v>
      </c>
    </row>
    <row r="28" spans="1:15">
      <c r="A28" t="s">
        <v>45</v>
      </c>
      <c r="B28" t="s">
        <v>47</v>
      </c>
      <c r="C28" t="s">
        <v>634</v>
      </c>
      <c r="D28" t="s">
        <v>13</v>
      </c>
      <c r="E28" t="s">
        <v>11</v>
      </c>
      <c r="F28" t="s">
        <v>12</v>
      </c>
      <c r="G28" t="s">
        <v>635</v>
      </c>
      <c r="H28" t="s">
        <v>625</v>
      </c>
    </row>
    <row r="29" spans="1:15">
      <c r="A29" t="s">
        <v>46</v>
      </c>
      <c r="B29" t="s">
        <v>78</v>
      </c>
      <c r="C29" t="s">
        <v>636</v>
      </c>
      <c r="D29" t="s">
        <v>13</v>
      </c>
      <c r="E29" t="s">
        <v>14</v>
      </c>
      <c r="F29" t="s">
        <v>12</v>
      </c>
      <c r="G29" t="s">
        <v>637</v>
      </c>
      <c r="H29" t="s">
        <v>625</v>
      </c>
    </row>
    <row r="30" spans="1:15">
      <c r="A30" t="s">
        <v>48</v>
      </c>
      <c r="B30" t="s">
        <v>34</v>
      </c>
      <c r="C30" t="s">
        <v>638</v>
      </c>
      <c r="D30" t="s">
        <v>12</v>
      </c>
      <c r="E30" t="s">
        <v>12</v>
      </c>
      <c r="F30" t="s">
        <v>12</v>
      </c>
      <c r="G30" t="s">
        <v>639</v>
      </c>
      <c r="H30" t="s">
        <v>380</v>
      </c>
    </row>
    <row r="31" spans="1:15">
      <c r="A31" t="s">
        <v>640</v>
      </c>
      <c r="B31" t="s">
        <v>147</v>
      </c>
      <c r="C31" t="s">
        <v>641</v>
      </c>
      <c r="D31" t="s">
        <v>13</v>
      </c>
      <c r="E31" t="s">
        <v>11</v>
      </c>
      <c r="F31" t="s">
        <v>12</v>
      </c>
      <c r="G31" t="s">
        <v>642</v>
      </c>
      <c r="H31" t="s">
        <v>625</v>
      </c>
    </row>
    <row r="32" spans="1:15">
      <c r="A32" t="s">
        <v>643</v>
      </c>
      <c r="B32" t="s">
        <v>644</v>
      </c>
      <c r="C32" t="s">
        <v>645</v>
      </c>
      <c r="D32" t="s">
        <v>13</v>
      </c>
      <c r="E32" t="s">
        <v>12</v>
      </c>
      <c r="F32" t="s">
        <v>13</v>
      </c>
      <c r="G32" t="s">
        <v>646</v>
      </c>
      <c r="H32" t="s">
        <v>380</v>
      </c>
    </row>
    <row r="33" spans="1:18">
      <c r="A33" t="s">
        <v>647</v>
      </c>
      <c r="B33" t="s">
        <v>530</v>
      </c>
      <c r="C33" t="s">
        <v>648</v>
      </c>
      <c r="D33" t="s">
        <v>13</v>
      </c>
      <c r="E33" t="s">
        <v>11</v>
      </c>
      <c r="F33" t="s">
        <v>12</v>
      </c>
      <c r="G33" t="s">
        <v>649</v>
      </c>
      <c r="H33" t="s">
        <v>625</v>
      </c>
    </row>
    <row r="34" spans="1:18">
      <c r="A34" t="s">
        <v>650</v>
      </c>
      <c r="B34" t="s">
        <v>651</v>
      </c>
      <c r="C34" t="s">
        <v>652</v>
      </c>
      <c r="D34" t="s">
        <v>12</v>
      </c>
      <c r="E34" t="s">
        <v>11</v>
      </c>
      <c r="F34" t="s">
        <v>11</v>
      </c>
      <c r="G34" t="s">
        <v>653</v>
      </c>
      <c r="H34" t="s">
        <v>620</v>
      </c>
    </row>
    <row r="35" spans="1:18">
      <c r="A35" t="s">
        <v>654</v>
      </c>
      <c r="B35" t="s">
        <v>655</v>
      </c>
      <c r="C35" t="s">
        <v>656</v>
      </c>
      <c r="D35" t="s">
        <v>13</v>
      </c>
      <c r="E35" t="s">
        <v>11</v>
      </c>
      <c r="F35" t="s">
        <v>12</v>
      </c>
      <c r="G35" t="s">
        <v>657</v>
      </c>
      <c r="H35" t="s">
        <v>625</v>
      </c>
    </row>
    <row r="36" spans="1:18">
      <c r="A36" t="s">
        <v>658</v>
      </c>
      <c r="B36" t="s">
        <v>7</v>
      </c>
      <c r="C36" t="s">
        <v>659</v>
      </c>
      <c r="D36" t="s">
        <v>13</v>
      </c>
      <c r="E36" t="s">
        <v>12</v>
      </c>
      <c r="F36" t="s">
        <v>13</v>
      </c>
      <c r="G36" t="s">
        <v>660</v>
      </c>
      <c r="H36" t="s">
        <v>625</v>
      </c>
    </row>
    <row r="40" spans="1:18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 spans="1:18" ht="18.75">
      <c r="A41" s="61" t="s">
        <v>1117</v>
      </c>
      <c r="B41" s="61"/>
      <c r="C41" s="61" t="s">
        <v>1118</v>
      </c>
      <c r="D41" s="61"/>
      <c r="E41" s="37" t="s">
        <v>9</v>
      </c>
      <c r="F41" s="36"/>
      <c r="G41" s="36"/>
      <c r="H41" s="36"/>
      <c r="I41" s="38"/>
      <c r="J41" s="36"/>
      <c r="K41" s="36"/>
      <c r="L41" s="36"/>
      <c r="M41" s="36"/>
      <c r="N41" s="36"/>
      <c r="O41" s="39" t="s">
        <v>1087</v>
      </c>
      <c r="P41" s="40"/>
      <c r="Q41" s="40"/>
      <c r="R41" s="41"/>
    </row>
    <row r="42" spans="1:18" ht="18.75">
      <c r="A42" s="62"/>
      <c r="B42" s="62"/>
      <c r="C42" s="62"/>
      <c r="D42" s="62"/>
      <c r="E42" s="42"/>
      <c r="F42" s="36"/>
      <c r="G42" s="36"/>
      <c r="H42" s="36"/>
      <c r="I42" s="38"/>
      <c r="J42" s="36"/>
      <c r="K42" s="36"/>
      <c r="L42" s="36"/>
      <c r="M42" s="36"/>
      <c r="N42" s="36"/>
      <c r="O42" s="43" t="s">
        <v>1088</v>
      </c>
      <c r="P42" s="44"/>
      <c r="Q42" s="44"/>
      <c r="R42" s="45"/>
    </row>
    <row r="43" spans="1:18" ht="18.75">
      <c r="A43" s="36"/>
      <c r="B43" s="36"/>
      <c r="C43" s="36"/>
      <c r="D43" s="36"/>
      <c r="E43" s="36"/>
      <c r="F43" s="36"/>
      <c r="G43" s="36"/>
      <c r="H43" s="36"/>
      <c r="I43" s="38"/>
      <c r="J43" s="36"/>
      <c r="K43" s="36"/>
      <c r="L43" s="36"/>
      <c r="M43" s="36"/>
      <c r="N43" s="36"/>
      <c r="O43" s="46" t="s">
        <v>1089</v>
      </c>
      <c r="P43" s="40"/>
      <c r="Q43" s="40"/>
      <c r="R43" s="41"/>
    </row>
    <row r="44" spans="1:18" ht="18.75">
      <c r="G44" s="36"/>
      <c r="H44" s="36"/>
      <c r="I44" s="38"/>
      <c r="J44" s="36"/>
      <c r="K44" s="36"/>
      <c r="L44" s="36"/>
      <c r="M44" s="36"/>
      <c r="N44" s="36"/>
      <c r="O44" s="46" t="s">
        <v>1090</v>
      </c>
      <c r="P44" s="40"/>
      <c r="Q44" s="40"/>
      <c r="R44" s="41"/>
    </row>
    <row r="45" spans="1:18" ht="18.75">
      <c r="G45" s="36"/>
      <c r="H45" s="36"/>
      <c r="I45" s="38"/>
      <c r="J45" s="36"/>
      <c r="K45" s="36"/>
      <c r="L45" s="36"/>
      <c r="M45" s="36"/>
      <c r="N45" s="36"/>
      <c r="O45" s="46" t="s">
        <v>1091</v>
      </c>
      <c r="P45" s="40"/>
      <c r="Q45" s="40"/>
      <c r="R45" s="41"/>
    </row>
    <row r="46" spans="1:18" ht="18.75">
      <c r="G46" s="36"/>
      <c r="H46" s="36"/>
      <c r="I46" s="38"/>
      <c r="J46" s="36"/>
      <c r="K46" s="36"/>
      <c r="L46" s="36"/>
      <c r="M46" s="36"/>
      <c r="N46" s="38"/>
      <c r="O46" s="43" t="s">
        <v>1092</v>
      </c>
      <c r="P46" s="44"/>
      <c r="Q46" s="44"/>
      <c r="R46" s="45"/>
    </row>
    <row r="47" spans="1:18">
      <c r="A47" s="63" t="s">
        <v>1093</v>
      </c>
      <c r="B47" s="64"/>
      <c r="C47" s="69" t="s">
        <v>1094</v>
      </c>
      <c r="D47" s="70"/>
      <c r="E47" s="70"/>
      <c r="F47" s="70"/>
      <c r="G47" s="70"/>
      <c r="H47" s="70"/>
      <c r="I47" s="70"/>
      <c r="J47" s="70"/>
      <c r="K47" s="70"/>
      <c r="L47" s="71"/>
      <c r="M47" s="36"/>
      <c r="N47" s="36"/>
    </row>
    <row r="48" spans="1:18">
      <c r="A48" s="65"/>
      <c r="B48" s="66"/>
      <c r="C48" s="72"/>
      <c r="D48" s="73"/>
      <c r="E48" s="73"/>
      <c r="F48" s="73"/>
      <c r="G48" s="73"/>
      <c r="H48" s="73"/>
      <c r="I48" s="73"/>
      <c r="J48" s="73"/>
      <c r="K48" s="73"/>
      <c r="L48" s="74"/>
      <c r="M48" s="36"/>
      <c r="N48" s="36"/>
      <c r="O48" s="39" t="s">
        <v>1095</v>
      </c>
      <c r="P48" s="40"/>
      <c r="Q48" s="40"/>
      <c r="R48" s="41"/>
    </row>
    <row r="49" spans="1:18">
      <c r="A49" s="65"/>
      <c r="B49" s="66"/>
      <c r="C49" s="75" t="s">
        <v>1096</v>
      </c>
      <c r="D49" s="76"/>
      <c r="E49" s="75" t="s">
        <v>1097</v>
      </c>
      <c r="F49" s="76"/>
      <c r="G49" s="75" t="s">
        <v>1098</v>
      </c>
      <c r="H49" s="76"/>
      <c r="I49" s="79" t="s">
        <v>1099</v>
      </c>
      <c r="J49" s="80"/>
      <c r="K49" s="75" t="s">
        <v>1100</v>
      </c>
      <c r="L49" s="76"/>
      <c r="M49" s="36"/>
      <c r="N49" s="36"/>
      <c r="O49" s="46" t="s">
        <v>1101</v>
      </c>
      <c r="P49" s="40"/>
      <c r="Q49" s="40"/>
      <c r="R49" s="41"/>
    </row>
    <row r="50" spans="1:18">
      <c r="A50" s="67"/>
      <c r="B50" s="68"/>
      <c r="C50" s="77"/>
      <c r="D50" s="78"/>
      <c r="E50" s="77"/>
      <c r="F50" s="78"/>
      <c r="G50" s="77"/>
      <c r="H50" s="78"/>
      <c r="I50" s="81"/>
      <c r="J50" s="82"/>
      <c r="K50" s="77"/>
      <c r="L50" s="78"/>
      <c r="M50" s="36"/>
      <c r="N50" s="36"/>
      <c r="O50" s="46" t="s">
        <v>1102</v>
      </c>
      <c r="P50" s="40"/>
      <c r="Q50" s="40"/>
      <c r="R50" s="41"/>
    </row>
    <row r="51" spans="1:18">
      <c r="A51" s="83" t="s">
        <v>1103</v>
      </c>
      <c r="B51" s="86" t="s">
        <v>1104</v>
      </c>
      <c r="C51" s="89" t="s">
        <v>12</v>
      </c>
      <c r="D51" s="90"/>
      <c r="E51" s="95" t="s">
        <v>11</v>
      </c>
      <c r="F51" s="96"/>
      <c r="G51" s="101" t="s">
        <v>14</v>
      </c>
      <c r="H51" s="102"/>
      <c r="I51" s="101" t="s">
        <v>14</v>
      </c>
      <c r="J51" s="102"/>
      <c r="K51" s="101" t="s">
        <v>14</v>
      </c>
      <c r="L51" s="102"/>
      <c r="M51" s="36"/>
      <c r="N51" s="36"/>
      <c r="O51" s="46" t="s">
        <v>1105</v>
      </c>
      <c r="P51" s="40"/>
      <c r="Q51" s="40"/>
      <c r="R51" s="41"/>
    </row>
    <row r="52" spans="1:18">
      <c r="A52" s="84"/>
      <c r="B52" s="87"/>
      <c r="C52" s="91"/>
      <c r="D52" s="92"/>
      <c r="E52" s="97"/>
      <c r="F52" s="98"/>
      <c r="G52" s="103"/>
      <c r="H52" s="104"/>
      <c r="I52" s="103"/>
      <c r="J52" s="104"/>
      <c r="K52" s="103"/>
      <c r="L52" s="104"/>
      <c r="M52" s="36"/>
      <c r="N52" s="36"/>
      <c r="O52" s="46" t="s">
        <v>1106</v>
      </c>
      <c r="P52" s="40"/>
      <c r="Q52" s="40"/>
      <c r="R52" s="41"/>
    </row>
    <row r="53" spans="1:18">
      <c r="A53" s="84"/>
      <c r="B53" s="87"/>
      <c r="C53" s="91"/>
      <c r="D53" s="92"/>
      <c r="E53" s="97"/>
      <c r="F53" s="98"/>
      <c r="G53" s="103"/>
      <c r="H53" s="104"/>
      <c r="I53" s="103"/>
      <c r="J53" s="104"/>
      <c r="K53" s="103"/>
      <c r="L53" s="104"/>
      <c r="M53" s="36"/>
      <c r="N53" s="36"/>
      <c r="O53" s="43" t="s">
        <v>1107</v>
      </c>
      <c r="P53" s="44"/>
      <c r="Q53" s="44"/>
      <c r="R53" s="45"/>
    </row>
    <row r="54" spans="1:18">
      <c r="A54" s="84"/>
      <c r="B54" s="87"/>
      <c r="C54" s="91"/>
      <c r="D54" s="92"/>
      <c r="E54" s="97"/>
      <c r="F54" s="98"/>
      <c r="G54" s="103"/>
      <c r="H54" s="104"/>
      <c r="I54" s="103"/>
      <c r="J54" s="104"/>
      <c r="K54" s="103"/>
      <c r="L54" s="104"/>
      <c r="M54" s="36"/>
      <c r="N54" s="36"/>
    </row>
    <row r="55" spans="1:18">
      <c r="A55" s="84"/>
      <c r="B55" s="88"/>
      <c r="C55" s="93"/>
      <c r="D55" s="94"/>
      <c r="E55" s="99"/>
      <c r="F55" s="100"/>
      <c r="G55" s="105"/>
      <c r="H55" s="106"/>
      <c r="I55" s="105"/>
      <c r="J55" s="106"/>
      <c r="K55" s="105"/>
      <c r="L55" s="106"/>
      <c r="M55" s="36"/>
      <c r="N55" s="36"/>
      <c r="O55" s="39" t="s">
        <v>1108</v>
      </c>
      <c r="P55" s="40"/>
      <c r="Q55" s="40"/>
      <c r="R55" s="41"/>
    </row>
    <row r="56" spans="1:18">
      <c r="A56" s="84"/>
      <c r="B56" s="86" t="s">
        <v>1109</v>
      </c>
      <c r="C56" s="89" t="s">
        <v>12</v>
      </c>
      <c r="D56" s="90"/>
      <c r="E56" s="95" t="s">
        <v>11</v>
      </c>
      <c r="F56" s="96"/>
      <c r="G56" s="95" t="s">
        <v>11</v>
      </c>
      <c r="H56" s="96"/>
      <c r="I56" s="101" t="s">
        <v>14</v>
      </c>
      <c r="J56" s="102"/>
      <c r="K56" s="101" t="s">
        <v>14</v>
      </c>
      <c r="L56" s="102"/>
      <c r="M56" s="36"/>
      <c r="N56" s="36"/>
      <c r="O56" s="46" t="s">
        <v>1110</v>
      </c>
      <c r="P56" s="40"/>
      <c r="Q56" s="40"/>
      <c r="R56" s="41"/>
    </row>
    <row r="57" spans="1:18">
      <c r="A57" s="84"/>
      <c r="B57" s="87"/>
      <c r="C57" s="91"/>
      <c r="D57" s="92"/>
      <c r="E57" s="97"/>
      <c r="F57" s="98"/>
      <c r="G57" s="97"/>
      <c r="H57" s="98"/>
      <c r="I57" s="103"/>
      <c r="J57" s="104"/>
      <c r="K57" s="103"/>
      <c r="L57" s="104"/>
      <c r="M57" s="36"/>
      <c r="N57" s="36"/>
      <c r="O57" s="46" t="s">
        <v>1111</v>
      </c>
      <c r="P57" s="40"/>
      <c r="Q57" s="40"/>
      <c r="R57" s="41"/>
    </row>
    <row r="58" spans="1:18">
      <c r="A58" s="84"/>
      <c r="B58" s="87"/>
      <c r="C58" s="91"/>
      <c r="D58" s="92"/>
      <c r="E58" s="97"/>
      <c r="F58" s="98"/>
      <c r="G58" s="97"/>
      <c r="H58" s="98"/>
      <c r="I58" s="103"/>
      <c r="J58" s="104"/>
      <c r="K58" s="103"/>
      <c r="L58" s="104"/>
      <c r="M58" s="36"/>
      <c r="N58" s="36"/>
      <c r="O58" s="46" t="s">
        <v>1112</v>
      </c>
      <c r="P58" s="40"/>
      <c r="Q58" s="40"/>
      <c r="R58" s="41"/>
    </row>
    <row r="59" spans="1:18">
      <c r="A59" s="84"/>
      <c r="B59" s="87"/>
      <c r="C59" s="91"/>
      <c r="D59" s="92"/>
      <c r="E59" s="97"/>
      <c r="F59" s="98"/>
      <c r="G59" s="97"/>
      <c r="H59" s="98"/>
      <c r="I59" s="103"/>
      <c r="J59" s="104"/>
      <c r="K59" s="103"/>
      <c r="L59" s="104"/>
      <c r="M59" s="36"/>
      <c r="N59" s="36"/>
      <c r="O59" s="43" t="s">
        <v>1113</v>
      </c>
      <c r="P59" s="44"/>
      <c r="Q59" s="44"/>
      <c r="R59" s="45"/>
    </row>
    <row r="60" spans="1:18">
      <c r="A60" s="84"/>
      <c r="B60" s="88"/>
      <c r="C60" s="93"/>
      <c r="D60" s="94"/>
      <c r="E60" s="99"/>
      <c r="F60" s="100"/>
      <c r="G60" s="99"/>
      <c r="H60" s="100"/>
      <c r="I60" s="105"/>
      <c r="J60" s="106"/>
      <c r="K60" s="105"/>
      <c r="L60" s="106"/>
      <c r="M60" s="36"/>
      <c r="N60" s="36"/>
      <c r="O60" s="36"/>
      <c r="P60" s="36"/>
      <c r="Q60" s="36"/>
      <c r="R60" s="36"/>
    </row>
    <row r="61" spans="1:18">
      <c r="A61" s="84"/>
      <c r="B61" s="86" t="s">
        <v>1114</v>
      </c>
      <c r="C61" s="107" t="s">
        <v>13</v>
      </c>
      <c r="D61" s="108"/>
      <c r="E61" s="89" t="s">
        <v>12</v>
      </c>
      <c r="F61" s="90"/>
      <c r="G61" s="95" t="s">
        <v>11</v>
      </c>
      <c r="H61" s="96"/>
      <c r="I61" s="95" t="s">
        <v>11</v>
      </c>
      <c r="J61" s="96"/>
      <c r="K61" s="101" t="s">
        <v>14</v>
      </c>
      <c r="L61" s="102"/>
      <c r="M61" s="36"/>
      <c r="N61" s="36"/>
      <c r="O61" s="36"/>
      <c r="P61" s="36"/>
      <c r="Q61" s="36"/>
      <c r="R61" s="36"/>
    </row>
    <row r="62" spans="1:18">
      <c r="A62" s="84"/>
      <c r="B62" s="87"/>
      <c r="C62" s="109"/>
      <c r="D62" s="110"/>
      <c r="E62" s="91"/>
      <c r="F62" s="92"/>
      <c r="G62" s="97"/>
      <c r="H62" s="98"/>
      <c r="I62" s="97"/>
      <c r="J62" s="98"/>
      <c r="K62" s="103"/>
      <c r="L62" s="104"/>
      <c r="M62" s="36"/>
      <c r="N62" s="36"/>
      <c r="O62" s="36"/>
      <c r="P62" s="36"/>
      <c r="Q62" s="36"/>
      <c r="R62" s="36"/>
    </row>
    <row r="63" spans="1:18">
      <c r="A63" s="84"/>
      <c r="B63" s="87"/>
      <c r="C63" s="109"/>
      <c r="D63" s="110"/>
      <c r="E63" s="91"/>
      <c r="F63" s="92"/>
      <c r="G63" s="97"/>
      <c r="H63" s="98"/>
      <c r="I63" s="97"/>
      <c r="J63" s="98"/>
      <c r="K63" s="103"/>
      <c r="L63" s="104"/>
      <c r="M63" s="36"/>
      <c r="N63" s="36"/>
      <c r="O63" s="36"/>
      <c r="P63" s="36"/>
      <c r="Q63" s="36"/>
      <c r="R63" s="36"/>
    </row>
    <row r="64" spans="1:18">
      <c r="A64" s="84"/>
      <c r="B64" s="87"/>
      <c r="C64" s="109"/>
      <c r="D64" s="110"/>
      <c r="E64" s="91"/>
      <c r="F64" s="92"/>
      <c r="G64" s="97"/>
      <c r="H64" s="98"/>
      <c r="I64" s="97"/>
      <c r="J64" s="98"/>
      <c r="K64" s="103"/>
      <c r="L64" s="104"/>
      <c r="M64" s="36"/>
      <c r="N64" s="36"/>
      <c r="O64" s="36"/>
      <c r="P64" s="36"/>
      <c r="Q64" s="36"/>
      <c r="R64" s="36"/>
    </row>
    <row r="65" spans="1:18">
      <c r="A65" s="84"/>
      <c r="B65" s="88"/>
      <c r="C65" s="111"/>
      <c r="D65" s="112"/>
      <c r="E65" s="93"/>
      <c r="F65" s="94"/>
      <c r="G65" s="99"/>
      <c r="H65" s="100"/>
      <c r="I65" s="99"/>
      <c r="J65" s="100"/>
      <c r="K65" s="105"/>
      <c r="L65" s="106"/>
      <c r="M65" s="36"/>
      <c r="N65" s="36"/>
      <c r="O65" s="36"/>
      <c r="P65" s="36"/>
      <c r="Q65" s="36"/>
      <c r="R65" s="36"/>
    </row>
    <row r="66" spans="1:18">
      <c r="A66" s="84"/>
      <c r="B66" s="86" t="s">
        <v>1115</v>
      </c>
      <c r="C66" s="107" t="s">
        <v>13</v>
      </c>
      <c r="D66" s="108"/>
      <c r="E66" s="107" t="s">
        <v>13</v>
      </c>
      <c r="F66" s="108"/>
      <c r="G66" s="89" t="s">
        <v>12</v>
      </c>
      <c r="H66" s="90"/>
      <c r="I66" s="89" t="s">
        <v>12</v>
      </c>
      <c r="J66" s="90"/>
      <c r="K66" s="95" t="s">
        <v>11</v>
      </c>
      <c r="L66" s="96"/>
      <c r="M66" s="36"/>
      <c r="N66" s="36"/>
      <c r="O66" s="36"/>
      <c r="P66" s="36"/>
      <c r="Q66" s="36"/>
      <c r="R66" s="36"/>
    </row>
    <row r="67" spans="1:18">
      <c r="A67" s="84"/>
      <c r="B67" s="87"/>
      <c r="C67" s="109"/>
      <c r="D67" s="110"/>
      <c r="E67" s="109"/>
      <c r="F67" s="110"/>
      <c r="G67" s="91"/>
      <c r="H67" s="92"/>
      <c r="I67" s="91"/>
      <c r="J67" s="92"/>
      <c r="K67" s="97"/>
      <c r="L67" s="98"/>
      <c r="M67" s="36"/>
      <c r="N67" s="36"/>
      <c r="O67" s="36"/>
      <c r="P67" s="36"/>
      <c r="Q67" s="36"/>
      <c r="R67" s="36"/>
    </row>
    <row r="68" spans="1:18">
      <c r="A68" s="84"/>
      <c r="B68" s="87"/>
      <c r="C68" s="109"/>
      <c r="D68" s="110"/>
      <c r="E68" s="109"/>
      <c r="F68" s="110"/>
      <c r="G68" s="91"/>
      <c r="H68" s="92"/>
      <c r="I68" s="91"/>
      <c r="J68" s="92"/>
      <c r="K68" s="97"/>
      <c r="L68" s="98"/>
      <c r="M68" s="36"/>
      <c r="N68" s="36"/>
      <c r="O68" s="36"/>
      <c r="P68" s="36"/>
      <c r="Q68" s="36"/>
      <c r="R68" s="36"/>
    </row>
    <row r="69" spans="1:18">
      <c r="A69" s="84"/>
      <c r="B69" s="87"/>
      <c r="C69" s="109"/>
      <c r="D69" s="110"/>
      <c r="E69" s="109"/>
      <c r="F69" s="110"/>
      <c r="G69" s="91"/>
      <c r="H69" s="92"/>
      <c r="I69" s="91"/>
      <c r="J69" s="92"/>
      <c r="K69" s="97"/>
      <c r="L69" s="98"/>
      <c r="M69" s="36"/>
      <c r="N69" s="36"/>
      <c r="O69" s="36"/>
      <c r="P69" s="36"/>
      <c r="Q69" s="36"/>
      <c r="R69" s="36"/>
    </row>
    <row r="70" spans="1:18">
      <c r="A70" s="84"/>
      <c r="B70" s="88"/>
      <c r="C70" s="111"/>
      <c r="D70" s="112"/>
      <c r="E70" s="111"/>
      <c r="F70" s="112"/>
      <c r="G70" s="93"/>
      <c r="H70" s="94"/>
      <c r="I70" s="93"/>
      <c r="J70" s="94"/>
      <c r="K70" s="99"/>
      <c r="L70" s="100"/>
      <c r="M70" s="36"/>
      <c r="N70" s="36"/>
      <c r="O70" s="36"/>
      <c r="P70" s="36"/>
      <c r="Q70" s="36"/>
      <c r="R70" s="36"/>
    </row>
    <row r="71" spans="1:18">
      <c r="A71" s="84"/>
      <c r="B71" s="86" t="s">
        <v>1116</v>
      </c>
      <c r="C71" s="107" t="s">
        <v>13</v>
      </c>
      <c r="D71" s="108"/>
      <c r="E71" s="107" t="s">
        <v>13</v>
      </c>
      <c r="F71" s="108"/>
      <c r="G71" s="107" t="s">
        <v>13</v>
      </c>
      <c r="H71" s="108"/>
      <c r="I71" s="107" t="s">
        <v>13</v>
      </c>
      <c r="J71" s="108"/>
      <c r="K71" s="89" t="s">
        <v>12</v>
      </c>
      <c r="L71" s="90"/>
      <c r="M71" s="36"/>
      <c r="N71" s="36"/>
      <c r="O71" s="36"/>
      <c r="P71" s="36"/>
      <c r="Q71" s="36"/>
      <c r="R71" s="36"/>
    </row>
    <row r="72" spans="1:18">
      <c r="A72" s="84"/>
      <c r="B72" s="87"/>
      <c r="C72" s="109"/>
      <c r="D72" s="110"/>
      <c r="E72" s="109"/>
      <c r="F72" s="110"/>
      <c r="G72" s="109"/>
      <c r="H72" s="110"/>
      <c r="I72" s="109"/>
      <c r="J72" s="110"/>
      <c r="K72" s="91"/>
      <c r="L72" s="92"/>
      <c r="M72" s="36"/>
      <c r="N72" s="36"/>
      <c r="O72" s="36"/>
      <c r="P72" s="36"/>
      <c r="Q72" s="36"/>
      <c r="R72" s="36"/>
    </row>
    <row r="73" spans="1:18">
      <c r="A73" s="84"/>
      <c r="B73" s="87"/>
      <c r="C73" s="109"/>
      <c r="D73" s="110"/>
      <c r="E73" s="109"/>
      <c r="F73" s="110"/>
      <c r="G73" s="109"/>
      <c r="H73" s="110"/>
      <c r="I73" s="109"/>
      <c r="J73" s="110"/>
      <c r="K73" s="91"/>
      <c r="L73" s="92"/>
      <c r="M73" s="36"/>
      <c r="N73" s="36"/>
      <c r="O73" s="36"/>
      <c r="P73" s="36"/>
      <c r="Q73" s="36"/>
      <c r="R73" s="36"/>
    </row>
    <row r="74" spans="1:18">
      <c r="A74" s="84"/>
      <c r="B74" s="87"/>
      <c r="C74" s="109"/>
      <c r="D74" s="110"/>
      <c r="E74" s="109"/>
      <c r="F74" s="110"/>
      <c r="G74" s="109"/>
      <c r="H74" s="110"/>
      <c r="I74" s="109"/>
      <c r="J74" s="110"/>
      <c r="K74" s="91"/>
      <c r="L74" s="92"/>
      <c r="M74" s="36"/>
      <c r="N74" s="36"/>
      <c r="O74" s="36"/>
      <c r="P74" s="36"/>
      <c r="Q74" s="36"/>
      <c r="R74" s="36"/>
    </row>
    <row r="75" spans="1:18">
      <c r="A75" s="85"/>
      <c r="B75" s="88"/>
      <c r="C75" s="111"/>
      <c r="D75" s="112"/>
      <c r="E75" s="111"/>
      <c r="F75" s="112"/>
      <c r="G75" s="111"/>
      <c r="H75" s="112"/>
      <c r="I75" s="111"/>
      <c r="J75" s="112"/>
      <c r="K75" s="93"/>
      <c r="L75" s="94"/>
      <c r="M75" s="36"/>
      <c r="N75" s="36"/>
      <c r="O75" s="36"/>
      <c r="P75" s="36"/>
      <c r="Q75" s="36"/>
      <c r="R75" s="36"/>
    </row>
    <row r="76" spans="1:18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</row>
  </sheetData>
  <mergeCells count="42">
    <mergeCell ref="I61:J65"/>
    <mergeCell ref="K61:L65"/>
    <mergeCell ref="K71:L75"/>
    <mergeCell ref="B66:B70"/>
    <mergeCell ref="C66:D70"/>
    <mergeCell ref="E66:F70"/>
    <mergeCell ref="G66:H70"/>
    <mergeCell ref="I66:J70"/>
    <mergeCell ref="K66:L70"/>
    <mergeCell ref="B71:B75"/>
    <mergeCell ref="C71:D75"/>
    <mergeCell ref="E71:F75"/>
    <mergeCell ref="G71:H75"/>
    <mergeCell ref="I71:J75"/>
    <mergeCell ref="I51:J55"/>
    <mergeCell ref="K51:L55"/>
    <mergeCell ref="B56:B60"/>
    <mergeCell ref="C56:D60"/>
    <mergeCell ref="E56:F60"/>
    <mergeCell ref="G56:H60"/>
    <mergeCell ref="I56:J60"/>
    <mergeCell ref="K56:L60"/>
    <mergeCell ref="A51:A75"/>
    <mergeCell ref="B51:B55"/>
    <mergeCell ref="C51:D55"/>
    <mergeCell ref="E51:F55"/>
    <mergeCell ref="G51:H55"/>
    <mergeCell ref="B61:B65"/>
    <mergeCell ref="C61:D65"/>
    <mergeCell ref="E61:F65"/>
    <mergeCell ref="G61:H65"/>
    <mergeCell ref="A41:B41"/>
    <mergeCell ref="C41:D41"/>
    <mergeCell ref="A42:B42"/>
    <mergeCell ref="C42:D42"/>
    <mergeCell ref="A47:B50"/>
    <mergeCell ref="C47:L48"/>
    <mergeCell ref="C49:D50"/>
    <mergeCell ref="E49:F50"/>
    <mergeCell ref="G49:H50"/>
    <mergeCell ref="I49:J50"/>
    <mergeCell ref="K49:L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B81E-DC92-4FD6-B9DD-DAE4F77E8269}">
  <dimension ref="A1:BI160"/>
  <sheetViews>
    <sheetView showGridLines="0" tabSelected="1" zoomScale="70" zoomScaleNormal="70" workbookViewId="0"/>
  </sheetViews>
  <sheetFormatPr defaultColWidth="9.140625" defaultRowHeight="15"/>
  <cols>
    <col min="1" max="1" width="103.42578125" style="3" bestFit="1" customWidth="1"/>
    <col min="2" max="2" width="22.7109375" style="2" bestFit="1" customWidth="1"/>
    <col min="3" max="3" width="42.5703125" style="2" bestFit="1" customWidth="1"/>
    <col min="4" max="4" width="34.140625" style="2" bestFit="1" customWidth="1"/>
    <col min="5" max="5" width="29.7109375" style="2" bestFit="1" customWidth="1"/>
    <col min="6" max="6" width="51.5703125" style="3" bestFit="1" customWidth="1"/>
    <col min="7" max="16384" width="9.140625" style="3"/>
  </cols>
  <sheetData>
    <row r="1" spans="1:61" s="1" customFormat="1" ht="33.75">
      <c r="A1" s="51" t="s">
        <v>1122</v>
      </c>
      <c r="B1" s="52"/>
      <c r="C1" s="52"/>
      <c r="D1" s="55" t="s">
        <v>1123</v>
      </c>
      <c r="E1" s="55"/>
      <c r="F1" s="55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>
      <c r="A3" s="50" t="s">
        <v>677</v>
      </c>
      <c r="B3" s="50" t="s">
        <v>18</v>
      </c>
      <c r="C3" s="50" t="s">
        <v>15</v>
      </c>
      <c r="D3" s="50" t="s">
        <v>54</v>
      </c>
      <c r="E3" s="50" t="s">
        <v>678</v>
      </c>
      <c r="F3" s="50" t="s">
        <v>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15.75">
      <c r="A4" s="53" t="s">
        <v>679</v>
      </c>
      <c r="B4">
        <v>14</v>
      </c>
      <c r="C4" t="s">
        <v>20</v>
      </c>
      <c r="D4" t="s">
        <v>680</v>
      </c>
      <c r="E4" t="s">
        <v>681</v>
      </c>
      <c r="F4" t="s">
        <v>267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15.75">
      <c r="A5" s="53" t="s">
        <v>682</v>
      </c>
      <c r="B5">
        <v>5</v>
      </c>
      <c r="C5" t="s">
        <v>4</v>
      </c>
      <c r="D5" t="s">
        <v>680</v>
      </c>
      <c r="E5" t="s">
        <v>683</v>
      </c>
      <c r="F5" t="s">
        <v>267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5.75" hidden="1">
      <c r="A6" s="53" t="s">
        <v>684</v>
      </c>
      <c r="B6">
        <v>0.1</v>
      </c>
      <c r="C6" t="s">
        <v>49</v>
      </c>
      <c r="D6" t="s">
        <v>680</v>
      </c>
      <c r="E6" t="s">
        <v>685</v>
      </c>
      <c r="F6" t="s">
        <v>267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ht="15.75" hidden="1">
      <c r="A7" s="53" t="s">
        <v>686</v>
      </c>
      <c r="B7">
        <v>0.13</v>
      </c>
      <c r="C7" t="s">
        <v>49</v>
      </c>
      <c r="D7" t="s">
        <v>680</v>
      </c>
      <c r="E7" t="s">
        <v>687</v>
      </c>
      <c r="F7" t="s">
        <v>267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1" ht="15.75" hidden="1">
      <c r="A8" s="53" t="s">
        <v>688</v>
      </c>
      <c r="B8">
        <v>0.75</v>
      </c>
      <c r="C8" t="s">
        <v>20</v>
      </c>
      <c r="D8" t="s">
        <v>680</v>
      </c>
      <c r="E8" t="s">
        <v>689</v>
      </c>
      <c r="F8" t="s">
        <v>267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1" ht="15.75" hidden="1">
      <c r="A9" s="53" t="s">
        <v>690</v>
      </c>
      <c r="B9">
        <v>0.25</v>
      </c>
      <c r="C9" t="s">
        <v>691</v>
      </c>
      <c r="D9" t="s">
        <v>680</v>
      </c>
      <c r="E9" t="s">
        <v>692</v>
      </c>
      <c r="F9" t="s">
        <v>267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</row>
    <row r="10" spans="1:61" ht="15.75" hidden="1">
      <c r="A10" s="53" t="s">
        <v>693</v>
      </c>
      <c r="B10">
        <v>18</v>
      </c>
      <c r="C10" t="s">
        <v>694</v>
      </c>
      <c r="D10" t="s">
        <v>680</v>
      </c>
      <c r="E10" t="s">
        <v>695</v>
      </c>
      <c r="F10" t="s">
        <v>267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</row>
    <row r="11" spans="1:61" ht="15.75" hidden="1">
      <c r="A11" s="53" t="s">
        <v>696</v>
      </c>
      <c r="B11">
        <v>14</v>
      </c>
      <c r="C11" t="s">
        <v>16</v>
      </c>
      <c r="D11" t="s">
        <v>680</v>
      </c>
      <c r="E11" t="s">
        <v>697</v>
      </c>
      <c r="F11" t="s">
        <v>267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</row>
    <row r="12" spans="1:61" ht="15.75" hidden="1">
      <c r="A12" s="53" t="s">
        <v>698</v>
      </c>
      <c r="B12">
        <v>2</v>
      </c>
      <c r="C12" t="s">
        <v>16</v>
      </c>
      <c r="D12" t="s">
        <v>680</v>
      </c>
      <c r="E12" t="s">
        <v>699</v>
      </c>
      <c r="F12" t="s">
        <v>267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</row>
    <row r="13" spans="1:61" ht="15.75" hidden="1">
      <c r="A13" s="53" t="s">
        <v>700</v>
      </c>
      <c r="B13">
        <v>1</v>
      </c>
      <c r="C13" t="s">
        <v>16</v>
      </c>
      <c r="D13" t="s">
        <v>680</v>
      </c>
      <c r="E13" t="s">
        <v>701</v>
      </c>
      <c r="F13" t="s">
        <v>267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</row>
    <row r="14" spans="1:61" ht="15.75" hidden="1">
      <c r="A14" s="53" t="s">
        <v>702</v>
      </c>
      <c r="B14">
        <f>B11-B12-B13</f>
        <v>11</v>
      </c>
      <c r="C14" t="s">
        <v>16</v>
      </c>
      <c r="D14" t="s">
        <v>264</v>
      </c>
      <c r="E14" t="s">
        <v>703</v>
      </c>
      <c r="F14" t="s">
        <v>19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</row>
    <row r="15" spans="1:61" s="4" customFormat="1" ht="15.75" hidden="1">
      <c r="A15" s="53" t="s">
        <v>704</v>
      </c>
      <c r="B15">
        <v>0.25</v>
      </c>
      <c r="C15" t="s">
        <v>691</v>
      </c>
      <c r="D15" t="s">
        <v>680</v>
      </c>
      <c r="E15" t="s">
        <v>705</v>
      </c>
      <c r="F15" t="s">
        <v>267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</row>
    <row r="16" spans="1:61" ht="15.75" hidden="1">
      <c r="A16" s="53" t="s">
        <v>706</v>
      </c>
      <c r="B16">
        <v>0.97499999999999998</v>
      </c>
      <c r="C16" t="s">
        <v>49</v>
      </c>
      <c r="D16" t="s">
        <v>680</v>
      </c>
      <c r="E16" t="s">
        <v>707</v>
      </c>
      <c r="F16" t="s">
        <v>267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</row>
    <row r="17" spans="1:61" ht="15.75" hidden="1">
      <c r="A17" s="53" t="s">
        <v>708</v>
      </c>
      <c r="B17">
        <v>0.17499999999999999</v>
      </c>
      <c r="C17" t="s">
        <v>17</v>
      </c>
      <c r="D17" t="s">
        <v>680</v>
      </c>
      <c r="E17" t="s">
        <v>709</v>
      </c>
      <c r="F17" t="s">
        <v>267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</row>
    <row r="18" spans="1:61" ht="15.75">
      <c r="A18" s="53" t="s">
        <v>710</v>
      </c>
      <c r="B18">
        <v>0.64900000000000002</v>
      </c>
      <c r="C18" t="s">
        <v>711</v>
      </c>
      <c r="D18" t="s">
        <v>680</v>
      </c>
      <c r="E18" t="s">
        <v>712</v>
      </c>
      <c r="F18" t="s">
        <v>267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 spans="1:61" ht="15.75">
      <c r="A19" s="53" t="s">
        <v>713</v>
      </c>
      <c r="B19">
        <v>2.8150000000000001E-2</v>
      </c>
      <c r="C19" t="s">
        <v>714</v>
      </c>
      <c r="D19" t="s">
        <v>680</v>
      </c>
      <c r="E19" t="s">
        <v>715</v>
      </c>
      <c r="F19" t="s">
        <v>267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ht="15.75" hidden="1">
      <c r="A20" s="53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1:61" ht="15.75" hidden="1">
      <c r="A21" s="53" t="s">
        <v>716</v>
      </c>
      <c r="B21" t="s">
        <v>18</v>
      </c>
      <c r="C21" t="s">
        <v>15</v>
      </c>
      <c r="D21" t="s">
        <v>717</v>
      </c>
      <c r="E21" t="s">
        <v>718</v>
      </c>
      <c r="F21" t="s">
        <v>8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ht="15.75">
      <c r="A22" s="53" t="s">
        <v>719</v>
      </c>
      <c r="B22">
        <f>B14*B15</f>
        <v>2.75</v>
      </c>
      <c r="C22" t="s">
        <v>691</v>
      </c>
      <c r="D22" t="s">
        <v>720</v>
      </c>
      <c r="E22" t="s">
        <v>5</v>
      </c>
      <c r="F22" t="s">
        <v>267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ht="15.75">
      <c r="A23" s="53" t="s">
        <v>721</v>
      </c>
      <c r="B23">
        <f>B22*8760*B16/1000</f>
        <v>23.487749999999998</v>
      </c>
      <c r="C23" t="s">
        <v>722</v>
      </c>
      <c r="D23" t="s">
        <v>723</v>
      </c>
      <c r="E23" t="s">
        <v>5</v>
      </c>
      <c r="F23" t="s">
        <v>267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ht="15.75">
      <c r="A24" s="53" t="s">
        <v>724</v>
      </c>
      <c r="B24">
        <f>B23*B17</f>
        <v>4.1103562499999997</v>
      </c>
      <c r="C24" t="s">
        <v>711</v>
      </c>
      <c r="D24" t="s">
        <v>725</v>
      </c>
      <c r="E24" t="s">
        <v>5</v>
      </c>
      <c r="F24" t="s">
        <v>267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ht="15.75">
      <c r="A25" s="53" t="s">
        <v>726</v>
      </c>
      <c r="B25">
        <f>B23*B19</f>
        <v>0.6611801625</v>
      </c>
      <c r="C25" t="s">
        <v>711</v>
      </c>
      <c r="D25" t="s">
        <v>727</v>
      </c>
      <c r="E25" t="s">
        <v>5</v>
      </c>
      <c r="F25" t="s">
        <v>267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ht="15.75">
      <c r="A26" s="53" t="s">
        <v>728</v>
      </c>
      <c r="B26">
        <f>B18+B25</f>
        <v>1.3101801625</v>
      </c>
      <c r="C26" t="s">
        <v>711</v>
      </c>
      <c r="D26" t="s">
        <v>729</v>
      </c>
      <c r="E26" t="s">
        <v>5</v>
      </c>
      <c r="F26" t="s">
        <v>267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ht="15.75">
      <c r="A27" s="53" t="s">
        <v>730</v>
      </c>
      <c r="B27">
        <f>B24-B26</f>
        <v>2.8001760874999997</v>
      </c>
      <c r="C27" t="s">
        <v>711</v>
      </c>
      <c r="D27" t="s">
        <v>731</v>
      </c>
      <c r="E27" t="s">
        <v>5</v>
      </c>
      <c r="F27" t="s">
        <v>267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ht="15.75">
      <c r="A28" s="53" t="s">
        <v>22</v>
      </c>
      <c r="B28">
        <f>B4/B27</f>
        <v>4.9996855778092213</v>
      </c>
      <c r="C28" t="s">
        <v>4</v>
      </c>
      <c r="D28" t="s">
        <v>732</v>
      </c>
      <c r="E28" t="s">
        <v>733</v>
      </c>
      <c r="F28" t="s">
        <v>19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ht="15.75">
      <c r="A29" s="54" t="s">
        <v>246</v>
      </c>
      <c r="B29">
        <v>0.3</v>
      </c>
      <c r="C29" t="s">
        <v>711</v>
      </c>
      <c r="D29" t="s">
        <v>734</v>
      </c>
      <c r="E29" t="s">
        <v>5</v>
      </c>
      <c r="F29" t="s">
        <v>267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ht="15.75">
      <c r="A30" s="53" t="s">
        <v>735</v>
      </c>
      <c r="B30">
        <f>B27-B29</f>
        <v>2.5001760874999999</v>
      </c>
      <c r="C30" t="s">
        <v>711</v>
      </c>
      <c r="D30" t="s">
        <v>736</v>
      </c>
      <c r="E30" t="s">
        <v>5</v>
      </c>
      <c r="F30" t="s">
        <v>267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ht="15.75">
      <c r="A31" s="53" t="s">
        <v>737</v>
      </c>
      <c r="B31" s="16">
        <f>IRR(B36:L36)</f>
        <v>0.11752053733020262</v>
      </c>
      <c r="C31" t="s">
        <v>49</v>
      </c>
      <c r="D31" t="s">
        <v>738</v>
      </c>
      <c r="E31" t="s">
        <v>739</v>
      </c>
      <c r="F31" t="s">
        <v>19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ht="15.75">
      <c r="A32" s="53" t="s">
        <v>740</v>
      </c>
      <c r="B32" t="str">
        <f>IF(AND(B31&gt;=B6,B31&lt;=B7),"PASS","REVIEW")</f>
        <v>PASS</v>
      </c>
      <c r="C32" t="s">
        <v>741</v>
      </c>
      <c r="D32" t="s">
        <v>742</v>
      </c>
      <c r="E32" t="s">
        <v>739</v>
      </c>
      <c r="F32" t="s">
        <v>19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ht="15.75">
      <c r="A33" s="53" t="s">
        <v>743</v>
      </c>
      <c r="B33" t="str">
        <f>IF(B28&lt;=B5,"PASS","REVIEW")</f>
        <v>PASS</v>
      </c>
      <c r="C33" t="s">
        <v>741</v>
      </c>
      <c r="D33" t="s">
        <v>744</v>
      </c>
      <c r="E33" t="s">
        <v>745</v>
      </c>
      <c r="F33" t="s">
        <v>19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ht="15.75">
      <c r="A34" s="53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ht="15.75">
      <c r="A35" s="53" t="s">
        <v>746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ht="15.75">
      <c r="A36" s="53" t="s">
        <v>747</v>
      </c>
      <c r="B36">
        <f xml:space="preserve"> -B4</f>
        <v>-14</v>
      </c>
      <c r="C36">
        <f>B30*85%</f>
        <v>2.1251496743749998</v>
      </c>
      <c r="D36">
        <f>B30*95%</f>
        <v>2.3751672831249997</v>
      </c>
      <c r="E36">
        <f>B30</f>
        <v>2.5001760874999999</v>
      </c>
      <c r="F36">
        <f>B30</f>
        <v>2.5001760874999999</v>
      </c>
      <c r="G36">
        <f>B30</f>
        <v>2.5001760874999999</v>
      </c>
      <c r="H36">
        <f>B30</f>
        <v>2.5001760874999999</v>
      </c>
      <c r="I36">
        <f>B30</f>
        <v>2.5001760874999999</v>
      </c>
      <c r="J36">
        <f>B30</f>
        <v>2.5001760874999999</v>
      </c>
      <c r="K36">
        <f>B30</f>
        <v>2.5001760874999999</v>
      </c>
      <c r="L36">
        <f>B30+0.5</f>
        <v>3.0001760874999999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ht="15.75">
      <c r="A37" s="53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ht="15.75">
      <c r="A38" s="53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ht="15.75">
      <c r="A39" s="53" t="s">
        <v>748</v>
      </c>
      <c r="B39" t="s">
        <v>749</v>
      </c>
      <c r="C39" t="s">
        <v>750</v>
      </c>
      <c r="D39" t="s">
        <v>751</v>
      </c>
      <c r="E39" t="s">
        <v>2</v>
      </c>
      <c r="F39" t="s">
        <v>8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75">
      <c r="A40" s="53" t="s">
        <v>752</v>
      </c>
      <c r="B40">
        <v>0.155</v>
      </c>
      <c r="C40">
        <v>0.17499999999999999</v>
      </c>
      <c r="D40">
        <v>0.19500000000000001</v>
      </c>
      <c r="E40" t="s">
        <v>753</v>
      </c>
      <c r="F40" t="s">
        <v>507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5.75">
      <c r="A41" s="53" t="s">
        <v>754</v>
      </c>
      <c r="B41">
        <v>0.96</v>
      </c>
      <c r="C41">
        <v>0.97499999999999998</v>
      </c>
      <c r="D41">
        <v>0.99</v>
      </c>
      <c r="E41" t="s">
        <v>755</v>
      </c>
      <c r="F41" t="s">
        <v>19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5.75">
      <c r="A42" s="53" t="s">
        <v>756</v>
      </c>
      <c r="B42">
        <f>$B$22*8760*B41/1000*B40-($B$18+($B$22*8760*B41/1000)*$B$19)</f>
        <v>2.2845838399999994</v>
      </c>
      <c r="C42">
        <f>$B$22*8760*C41/1000*C40-($B$18+($B$22*8760*C41/1000)*$B$19)</f>
        <v>2.8001760874999997</v>
      </c>
      <c r="D42">
        <f>$B$22*8760*D41/1000*D40-($B$18+($B$22*8760*D41/1000)*$B$19)</f>
        <v>3.3302223350000002</v>
      </c>
      <c r="E42" t="s">
        <v>757</v>
      </c>
      <c r="F42" t="s">
        <v>267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ht="15.75">
      <c r="A43" s="53" t="s">
        <v>758</v>
      </c>
      <c r="B43">
        <f>$B$4/B42</f>
        <v>6.1280307401631644</v>
      </c>
      <c r="C43">
        <f>$B$4/C42</f>
        <v>4.9996855778092213</v>
      </c>
      <c r="D43">
        <f>$B$4/D42</f>
        <v>4.2039235197189919</v>
      </c>
      <c r="E43" t="s">
        <v>759</v>
      </c>
      <c r="F43" t="s">
        <v>267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ht="15.75">
      <c r="A44" s="53" t="s">
        <v>760</v>
      </c>
      <c r="B44" t="s">
        <v>761</v>
      </c>
      <c r="C44" t="s">
        <v>762</v>
      </c>
      <c r="D44" t="s">
        <v>763</v>
      </c>
      <c r="E44" t="s">
        <v>764</v>
      </c>
      <c r="F44" t="s">
        <v>25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6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6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</row>
    <row r="123" spans="1:6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</row>
    <row r="124" spans="1:6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 spans="1:6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</row>
    <row r="126" spans="1:6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</row>
    <row r="127" spans="1:6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 spans="1:6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 spans="1:6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</row>
    <row r="130" spans="1:6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</row>
    <row r="131" spans="1:6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</row>
    <row r="132" spans="1:6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</row>
    <row r="133" spans="1:6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</row>
    <row r="134" spans="1:6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</row>
    <row r="135" spans="1:6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 spans="1:6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</row>
    <row r="137" spans="1:6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 spans="1:6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 spans="1:6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 spans="1:6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 spans="1:6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</row>
    <row r="142" spans="1:6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</row>
    <row r="143" spans="1:6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</row>
    <row r="144" spans="1:6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</row>
    <row r="145" spans="1:6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</row>
    <row r="146" spans="1:6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</row>
    <row r="147" spans="1:6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 spans="1:6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</row>
    <row r="149" spans="1:6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</row>
    <row r="150" spans="1:6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</row>
    <row r="151" spans="1:6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</row>
    <row r="152" spans="1:6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</row>
    <row r="153" spans="1:6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</row>
    <row r="154" spans="1:6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</row>
    <row r="155" spans="1:6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</row>
    <row r="156" spans="1:6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</row>
    <row r="157" spans="1:6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</row>
    <row r="158" spans="1:6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</row>
    <row r="159" spans="1:6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</row>
    <row r="160" spans="1:6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8BA4-C6AD-4957-8FD1-762993E85A88}">
  <dimension ref="A1:J68"/>
  <sheetViews>
    <sheetView showGridLines="0" workbookViewId="0">
      <selection activeCell="D1" sqref="D1"/>
    </sheetView>
  </sheetViews>
  <sheetFormatPr defaultColWidth="8.85546875" defaultRowHeight="15"/>
  <cols>
    <col min="1" max="1" width="30" customWidth="1"/>
    <col min="2" max="2" width="75.42578125" bestFit="1" customWidth="1"/>
    <col min="3" max="3" width="10.7109375" bestFit="1" customWidth="1"/>
    <col min="4" max="4" width="15.140625" bestFit="1" customWidth="1"/>
    <col min="5" max="5" width="39.7109375" bestFit="1" customWidth="1"/>
    <col min="6" max="6" width="49.28515625" bestFit="1" customWidth="1"/>
    <col min="7" max="7" width="48.28515625" bestFit="1" customWidth="1"/>
    <col min="8" max="10" width="12.85546875" customWidth="1"/>
  </cols>
  <sheetData>
    <row r="1" spans="1:10" ht="18.75">
      <c r="A1" s="60" t="s">
        <v>1121</v>
      </c>
      <c r="B1" s="60"/>
    </row>
    <row r="3" spans="1:10">
      <c r="A3" s="19" t="s">
        <v>74</v>
      </c>
      <c r="B3" s="19" t="s">
        <v>18</v>
      </c>
      <c r="C3" s="19" t="s">
        <v>15</v>
      </c>
      <c r="D3" s="19" t="s">
        <v>765</v>
      </c>
      <c r="E3" s="19" t="s">
        <v>8</v>
      </c>
      <c r="F3" s="19" t="s">
        <v>766</v>
      </c>
      <c r="G3" s="19" t="s">
        <v>74</v>
      </c>
      <c r="H3" s="19" t="s">
        <v>18</v>
      </c>
      <c r="I3" s="19" t="s">
        <v>15</v>
      </c>
      <c r="J3" s="19" t="s">
        <v>8</v>
      </c>
    </row>
    <row r="4" spans="1:10">
      <c r="A4" t="s">
        <v>679</v>
      </c>
      <c r="B4">
        <f>'Cost Benefit Analysis'!B4</f>
        <v>14</v>
      </c>
      <c r="C4" t="s">
        <v>20</v>
      </c>
      <c r="D4" t="s">
        <v>767</v>
      </c>
      <c r="E4" t="s">
        <v>19</v>
      </c>
      <c r="F4" t="s">
        <v>768</v>
      </c>
      <c r="G4" t="s">
        <v>769</v>
      </c>
      <c r="H4">
        <f>'Cost Benefit Analysis'!B14</f>
        <v>11</v>
      </c>
      <c r="I4" t="s">
        <v>16</v>
      </c>
      <c r="J4" t="s">
        <v>19</v>
      </c>
    </row>
    <row r="5" spans="1:10">
      <c r="A5" t="s">
        <v>22</v>
      </c>
      <c r="B5">
        <f>'Cost Benefit Analysis'!B28</f>
        <v>4.9996855778092213</v>
      </c>
      <c r="C5" t="s">
        <v>4</v>
      </c>
      <c r="D5" t="s">
        <v>770</v>
      </c>
      <c r="E5" t="s">
        <v>19</v>
      </c>
      <c r="F5" t="s">
        <v>771</v>
      </c>
      <c r="G5" t="s">
        <v>737</v>
      </c>
      <c r="H5" s="16">
        <f>'Cost Benefit Analysis'!B31</f>
        <v>0.11752053733020262</v>
      </c>
      <c r="I5" t="s">
        <v>49</v>
      </c>
      <c r="J5" t="s">
        <v>19</v>
      </c>
    </row>
    <row r="6" spans="1:10">
      <c r="A6" t="s">
        <v>76</v>
      </c>
      <c r="B6">
        <f>'Cost Benefit Analysis'!B23</f>
        <v>23.487749999999998</v>
      </c>
      <c r="C6" t="s">
        <v>722</v>
      </c>
      <c r="D6" t="s">
        <v>5</v>
      </c>
      <c r="E6" t="s">
        <v>267</v>
      </c>
      <c r="F6" t="s">
        <v>772</v>
      </c>
      <c r="G6" t="s">
        <v>525</v>
      </c>
      <c r="H6">
        <f>'Cost Benefit Analysis'!B16</f>
        <v>0.97499999999999998</v>
      </c>
      <c r="I6" t="s">
        <v>49</v>
      </c>
      <c r="J6" t="s">
        <v>19</v>
      </c>
    </row>
    <row r="7" spans="1:10">
      <c r="A7" t="s">
        <v>724</v>
      </c>
      <c r="B7">
        <f>'Cost Benefit Analysis'!B24</f>
        <v>4.1103562499999997</v>
      </c>
      <c r="C7" t="s">
        <v>711</v>
      </c>
      <c r="D7" t="s">
        <v>5</v>
      </c>
      <c r="E7" t="s">
        <v>267</v>
      </c>
      <c r="F7" t="s">
        <v>773</v>
      </c>
      <c r="G7" t="s">
        <v>774</v>
      </c>
      <c r="H7">
        <f>'Cost Benefit Analysis'!B26</f>
        <v>1.3101801625</v>
      </c>
      <c r="I7" t="s">
        <v>711</v>
      </c>
      <c r="J7" t="s">
        <v>267</v>
      </c>
    </row>
    <row r="8" spans="1:10">
      <c r="A8" t="s">
        <v>696</v>
      </c>
      <c r="B8">
        <v>14</v>
      </c>
      <c r="C8" t="s">
        <v>16</v>
      </c>
      <c r="D8">
        <v>14</v>
      </c>
      <c r="E8" t="s">
        <v>267</v>
      </c>
      <c r="F8" t="s">
        <v>775</v>
      </c>
      <c r="G8" t="s">
        <v>776</v>
      </c>
      <c r="H8">
        <v>2</v>
      </c>
      <c r="I8" t="s">
        <v>16</v>
      </c>
      <c r="J8" t="s">
        <v>267</v>
      </c>
    </row>
    <row r="9" spans="1:10">
      <c r="A9" t="s">
        <v>777</v>
      </c>
      <c r="B9">
        <v>12</v>
      </c>
      <c r="C9" t="s">
        <v>16</v>
      </c>
      <c r="D9">
        <v>12</v>
      </c>
      <c r="E9" t="s">
        <v>267</v>
      </c>
      <c r="F9" t="s">
        <v>778</v>
      </c>
      <c r="G9" t="s">
        <v>594</v>
      </c>
      <c r="H9">
        <v>1</v>
      </c>
      <c r="I9" t="s">
        <v>16</v>
      </c>
      <c r="J9" t="s">
        <v>380</v>
      </c>
    </row>
    <row r="10" spans="1:10">
      <c r="A10" t="s">
        <v>779</v>
      </c>
      <c r="B10" t="s">
        <v>780</v>
      </c>
      <c r="C10" t="s">
        <v>781</v>
      </c>
      <c r="D10" t="s">
        <v>782</v>
      </c>
      <c r="E10" t="s">
        <v>25</v>
      </c>
      <c r="F10" t="s">
        <v>783</v>
      </c>
      <c r="G10" t="s">
        <v>784</v>
      </c>
      <c r="H10" t="s">
        <v>785</v>
      </c>
      <c r="I10" t="s">
        <v>741</v>
      </c>
      <c r="J10" t="s">
        <v>19</v>
      </c>
    </row>
    <row r="13" spans="1:10">
      <c r="A13" t="s">
        <v>366</v>
      </c>
      <c r="B13" t="s">
        <v>367</v>
      </c>
      <c r="C13" t="s">
        <v>786</v>
      </c>
      <c r="D13" t="s">
        <v>787</v>
      </c>
      <c r="E13" t="s">
        <v>8</v>
      </c>
      <c r="F13" t="s">
        <v>788</v>
      </c>
      <c r="H13" t="s">
        <v>811</v>
      </c>
      <c r="I13" t="s">
        <v>75</v>
      </c>
      <c r="J13" t="s">
        <v>2</v>
      </c>
    </row>
    <row r="14" spans="1:10">
      <c r="A14" t="s">
        <v>98</v>
      </c>
      <c r="B14" t="s">
        <v>368</v>
      </c>
      <c r="C14" t="s">
        <v>789</v>
      </c>
      <c r="D14" t="s">
        <v>790</v>
      </c>
      <c r="E14" t="s">
        <v>69</v>
      </c>
      <c r="F14" t="s">
        <v>791</v>
      </c>
      <c r="H14" t="s">
        <v>812</v>
      </c>
      <c r="I14">
        <v>14</v>
      </c>
      <c r="J14" t="s">
        <v>813</v>
      </c>
    </row>
    <row r="15" spans="1:10">
      <c r="A15" t="s">
        <v>792</v>
      </c>
      <c r="B15" t="s">
        <v>374</v>
      </c>
      <c r="C15" t="s">
        <v>793</v>
      </c>
      <c r="D15" t="s">
        <v>794</v>
      </c>
      <c r="E15" t="s">
        <v>69</v>
      </c>
      <c r="F15" t="s">
        <v>795</v>
      </c>
      <c r="H15" t="s">
        <v>814</v>
      </c>
      <c r="I15">
        <v>2</v>
      </c>
      <c r="J15" t="s">
        <v>815</v>
      </c>
    </row>
    <row r="16" spans="1:10">
      <c r="A16" t="s">
        <v>23</v>
      </c>
      <c r="B16" t="s">
        <v>385</v>
      </c>
      <c r="C16" t="s">
        <v>796</v>
      </c>
      <c r="D16" t="s">
        <v>797</v>
      </c>
      <c r="E16" t="s">
        <v>69</v>
      </c>
      <c r="F16" t="s">
        <v>798</v>
      </c>
      <c r="H16" t="s">
        <v>668</v>
      </c>
      <c r="I16">
        <v>12</v>
      </c>
      <c r="J16" t="s">
        <v>816</v>
      </c>
    </row>
    <row r="17" spans="1:10">
      <c r="A17" t="s">
        <v>121</v>
      </c>
      <c r="B17" t="s">
        <v>397</v>
      </c>
      <c r="C17" t="s">
        <v>799</v>
      </c>
      <c r="D17" t="s">
        <v>800</v>
      </c>
      <c r="E17" t="s">
        <v>69</v>
      </c>
      <c r="F17" t="s">
        <v>801</v>
      </c>
      <c r="H17" t="s">
        <v>817</v>
      </c>
      <c r="I17">
        <v>1</v>
      </c>
      <c r="J17" t="s">
        <v>537</v>
      </c>
    </row>
    <row r="18" spans="1:10">
      <c r="A18" t="s">
        <v>24</v>
      </c>
      <c r="B18" t="s">
        <v>405</v>
      </c>
      <c r="C18" t="s">
        <v>802</v>
      </c>
      <c r="D18" t="s">
        <v>803</v>
      </c>
      <c r="E18" t="s">
        <v>69</v>
      </c>
      <c r="F18" t="s">
        <v>804</v>
      </c>
      <c r="H18" t="s">
        <v>671</v>
      </c>
      <c r="I18">
        <v>11</v>
      </c>
      <c r="J18" t="s">
        <v>818</v>
      </c>
    </row>
    <row r="19" spans="1:10">
      <c r="A19" t="s">
        <v>77</v>
      </c>
      <c r="B19" t="s">
        <v>414</v>
      </c>
      <c r="C19" t="s">
        <v>805</v>
      </c>
      <c r="D19" t="s">
        <v>806</v>
      </c>
      <c r="E19" t="s">
        <v>25</v>
      </c>
      <c r="F19" t="s">
        <v>807</v>
      </c>
    </row>
    <row r="20" spans="1:10">
      <c r="A20" t="s">
        <v>808</v>
      </c>
      <c r="B20" t="s">
        <v>475</v>
      </c>
      <c r="C20" t="s">
        <v>809</v>
      </c>
      <c r="D20" t="s">
        <v>380</v>
      </c>
      <c r="E20" t="s">
        <v>380</v>
      </c>
      <c r="F20" t="s">
        <v>810</v>
      </c>
    </row>
    <row r="23" spans="1:10">
      <c r="A23" t="s">
        <v>819</v>
      </c>
      <c r="B23" t="s">
        <v>820</v>
      </c>
      <c r="C23" t="s">
        <v>32</v>
      </c>
      <c r="D23" t="s">
        <v>89</v>
      </c>
      <c r="E23" t="s">
        <v>821</v>
      </c>
      <c r="F23" t="s">
        <v>8</v>
      </c>
      <c r="G23" t="s">
        <v>822</v>
      </c>
      <c r="H23" t="s">
        <v>823</v>
      </c>
      <c r="I23" t="s">
        <v>824</v>
      </c>
      <c r="J23" t="s">
        <v>825</v>
      </c>
    </row>
    <row r="24" spans="1:10">
      <c r="A24" t="s">
        <v>826</v>
      </c>
      <c r="B24" t="s">
        <v>827</v>
      </c>
      <c r="C24" t="s">
        <v>70</v>
      </c>
      <c r="D24" t="s">
        <v>828</v>
      </c>
      <c r="E24" t="s">
        <v>829</v>
      </c>
      <c r="F24" t="s">
        <v>19</v>
      </c>
      <c r="G24" t="s">
        <v>830</v>
      </c>
      <c r="H24" t="s">
        <v>831</v>
      </c>
      <c r="I24" t="s">
        <v>832</v>
      </c>
      <c r="J24" t="s">
        <v>833</v>
      </c>
    </row>
    <row r="25" spans="1:10">
      <c r="A25" t="s">
        <v>834</v>
      </c>
      <c r="B25" t="s">
        <v>835</v>
      </c>
      <c r="C25" t="s">
        <v>110</v>
      </c>
      <c r="D25" t="s">
        <v>836</v>
      </c>
      <c r="E25" t="s">
        <v>837</v>
      </c>
      <c r="F25" t="s">
        <v>19</v>
      </c>
      <c r="G25" t="s">
        <v>838</v>
      </c>
      <c r="H25" t="s">
        <v>839</v>
      </c>
      <c r="I25" t="s">
        <v>840</v>
      </c>
      <c r="J25" t="s">
        <v>836</v>
      </c>
    </row>
    <row r="26" spans="1:10">
      <c r="A26" t="s">
        <v>841</v>
      </c>
      <c r="B26" t="s">
        <v>842</v>
      </c>
      <c r="C26" t="s">
        <v>27</v>
      </c>
      <c r="D26" t="s">
        <v>828</v>
      </c>
      <c r="E26" t="s">
        <v>843</v>
      </c>
      <c r="F26" t="s">
        <v>19</v>
      </c>
      <c r="G26" t="s">
        <v>844</v>
      </c>
      <c r="H26" t="s">
        <v>845</v>
      </c>
      <c r="I26" t="s">
        <v>846</v>
      </c>
      <c r="J26" t="s">
        <v>380</v>
      </c>
    </row>
    <row r="27" spans="1:10">
      <c r="A27" t="s">
        <v>847</v>
      </c>
      <c r="B27" t="s">
        <v>848</v>
      </c>
      <c r="C27" t="s">
        <v>53</v>
      </c>
      <c r="D27" t="s">
        <v>836</v>
      </c>
      <c r="E27" t="s">
        <v>849</v>
      </c>
      <c r="F27" t="s">
        <v>19</v>
      </c>
      <c r="G27" t="s">
        <v>850</v>
      </c>
      <c r="H27" t="s">
        <v>851</v>
      </c>
      <c r="I27" t="s">
        <v>852</v>
      </c>
      <c r="J27" t="s">
        <v>833</v>
      </c>
    </row>
    <row r="28" spans="1:10">
      <c r="A28" t="s">
        <v>853</v>
      </c>
      <c r="B28" t="s">
        <v>854</v>
      </c>
      <c r="C28" t="s">
        <v>53</v>
      </c>
      <c r="D28" t="s">
        <v>855</v>
      </c>
      <c r="E28" t="s">
        <v>856</v>
      </c>
      <c r="F28" t="s">
        <v>19</v>
      </c>
      <c r="G28" t="s">
        <v>857</v>
      </c>
      <c r="H28" t="s">
        <v>858</v>
      </c>
      <c r="I28" t="s">
        <v>859</v>
      </c>
      <c r="J28" t="s">
        <v>860</v>
      </c>
    </row>
    <row r="29" spans="1:10">
      <c r="A29" t="s">
        <v>861</v>
      </c>
      <c r="B29" t="s">
        <v>862</v>
      </c>
      <c r="C29" t="s">
        <v>47</v>
      </c>
      <c r="D29" t="s">
        <v>780</v>
      </c>
      <c r="E29" t="s">
        <v>863</v>
      </c>
      <c r="F29" t="s">
        <v>864</v>
      </c>
      <c r="G29" t="s">
        <v>865</v>
      </c>
      <c r="H29" t="s">
        <v>866</v>
      </c>
      <c r="I29" t="s">
        <v>867</v>
      </c>
      <c r="J29" t="s">
        <v>833</v>
      </c>
    </row>
    <row r="30" spans="1:10">
      <c r="A30" t="s">
        <v>868</v>
      </c>
      <c r="B30" t="s">
        <v>869</v>
      </c>
      <c r="C30" t="s">
        <v>53</v>
      </c>
      <c r="D30" t="s">
        <v>828</v>
      </c>
      <c r="E30" t="s">
        <v>870</v>
      </c>
      <c r="F30" t="s">
        <v>19</v>
      </c>
      <c r="G30" t="s">
        <v>871</v>
      </c>
      <c r="H30" t="s">
        <v>872</v>
      </c>
      <c r="I30" t="s">
        <v>873</v>
      </c>
      <c r="J30" t="s">
        <v>833</v>
      </c>
    </row>
    <row r="33" spans="1:9" ht="21">
      <c r="A33" s="113" t="s">
        <v>1047</v>
      </c>
      <c r="B33" s="114"/>
      <c r="C33" s="114"/>
      <c r="D33" s="114"/>
      <c r="E33" s="114"/>
      <c r="F33" s="114"/>
      <c r="G33" s="114"/>
      <c r="H33" s="114"/>
      <c r="I33" s="114"/>
    </row>
    <row r="35" spans="1:9" ht="15.75">
      <c r="A35" s="115" t="s">
        <v>1048</v>
      </c>
      <c r="B35" s="114"/>
      <c r="C35" s="114"/>
      <c r="D35" s="114"/>
      <c r="E35" s="114"/>
      <c r="F35" s="114"/>
      <c r="G35" s="114"/>
      <c r="H35" s="114"/>
      <c r="I35" s="114"/>
    </row>
    <row r="36" spans="1:9">
      <c r="A36" s="22" t="s">
        <v>1049</v>
      </c>
      <c r="B36" s="22" t="s">
        <v>1050</v>
      </c>
      <c r="C36" s="22" t="s">
        <v>1051</v>
      </c>
      <c r="D36" s="22" t="s">
        <v>1052</v>
      </c>
      <c r="E36" s="22" t="s">
        <v>1053</v>
      </c>
      <c r="F36" s="22" t="s">
        <v>1054</v>
      </c>
      <c r="G36" s="22" t="s">
        <v>1055</v>
      </c>
      <c r="H36" s="22" t="s">
        <v>1056</v>
      </c>
      <c r="I36" s="22" t="s">
        <v>1057</v>
      </c>
    </row>
    <row r="37" spans="1:9">
      <c r="A37" s="23" t="s">
        <v>1058</v>
      </c>
      <c r="B37" s="24">
        <v>285000</v>
      </c>
      <c r="C37" s="24">
        <v>119700</v>
      </c>
      <c r="D37" s="25">
        <f t="shared" ref="D37:F48" si="0">B37-C37</f>
        <v>165300</v>
      </c>
      <c r="E37" s="24">
        <v>95000</v>
      </c>
      <c r="F37" s="25">
        <f t="shared" si="0"/>
        <v>70300</v>
      </c>
      <c r="G37" s="24">
        <v>300000</v>
      </c>
      <c r="H37" s="26">
        <v>142</v>
      </c>
      <c r="I37" s="25">
        <f t="shared" ref="I37:I48" si="1">B37/H37</f>
        <v>2007.0422535211267</v>
      </c>
    </row>
    <row r="38" spans="1:9">
      <c r="A38" s="27" t="s">
        <v>1059</v>
      </c>
      <c r="B38" s="28">
        <v>310000</v>
      </c>
      <c r="C38" s="28">
        <v>127100</v>
      </c>
      <c r="D38" s="29">
        <f t="shared" si="0"/>
        <v>182900</v>
      </c>
      <c r="E38" s="28">
        <v>98000</v>
      </c>
      <c r="F38" s="29">
        <f t="shared" si="0"/>
        <v>84900</v>
      </c>
      <c r="G38" s="28">
        <v>320000</v>
      </c>
      <c r="H38" s="30">
        <v>155</v>
      </c>
      <c r="I38" s="29">
        <f t="shared" si="1"/>
        <v>2000</v>
      </c>
    </row>
    <row r="39" spans="1:9">
      <c r="A39" s="23" t="s">
        <v>1060</v>
      </c>
      <c r="B39" s="24">
        <v>340000</v>
      </c>
      <c r="C39" s="24">
        <v>136000</v>
      </c>
      <c r="D39" s="25">
        <f t="shared" si="0"/>
        <v>204000</v>
      </c>
      <c r="E39" s="24">
        <v>102000</v>
      </c>
      <c r="F39" s="25">
        <f t="shared" si="0"/>
        <v>102000</v>
      </c>
      <c r="G39" s="24">
        <v>340000</v>
      </c>
      <c r="H39" s="26">
        <v>170</v>
      </c>
      <c r="I39" s="25">
        <f t="shared" si="1"/>
        <v>2000</v>
      </c>
    </row>
    <row r="40" spans="1:9">
      <c r="A40" s="27" t="s">
        <v>1061</v>
      </c>
      <c r="B40" s="28">
        <v>325000</v>
      </c>
      <c r="C40" s="28">
        <v>136500</v>
      </c>
      <c r="D40" s="29">
        <f t="shared" si="0"/>
        <v>188500</v>
      </c>
      <c r="E40" s="28">
        <v>100000</v>
      </c>
      <c r="F40" s="29">
        <f t="shared" si="0"/>
        <v>88500</v>
      </c>
      <c r="G40" s="28">
        <v>360000</v>
      </c>
      <c r="H40" s="30">
        <v>163</v>
      </c>
      <c r="I40" s="29">
        <f t="shared" si="1"/>
        <v>1993.8650306748466</v>
      </c>
    </row>
    <row r="41" spans="1:9">
      <c r="A41" s="23" t="s">
        <v>1062</v>
      </c>
      <c r="B41" s="24">
        <v>365000</v>
      </c>
      <c r="C41" s="24">
        <v>146000</v>
      </c>
      <c r="D41" s="25">
        <f t="shared" si="0"/>
        <v>219000</v>
      </c>
      <c r="E41" s="24">
        <v>105000</v>
      </c>
      <c r="F41" s="25">
        <f t="shared" si="0"/>
        <v>114000</v>
      </c>
      <c r="G41" s="24">
        <v>380000</v>
      </c>
      <c r="H41" s="26">
        <v>182</v>
      </c>
      <c r="I41" s="25">
        <f t="shared" si="1"/>
        <v>2005.4945054945056</v>
      </c>
    </row>
    <row r="42" spans="1:9">
      <c r="A42" s="27" t="s">
        <v>1063</v>
      </c>
      <c r="B42" s="28">
        <v>390000</v>
      </c>
      <c r="C42" s="28">
        <v>152100</v>
      </c>
      <c r="D42" s="29">
        <f t="shared" si="0"/>
        <v>237900</v>
      </c>
      <c r="E42" s="28">
        <v>108000</v>
      </c>
      <c r="F42" s="29">
        <f t="shared" si="0"/>
        <v>129900</v>
      </c>
      <c r="G42" s="28">
        <v>400000</v>
      </c>
      <c r="H42" s="30">
        <v>195</v>
      </c>
      <c r="I42" s="29">
        <f t="shared" si="1"/>
        <v>2000</v>
      </c>
    </row>
    <row r="43" spans="1:9">
      <c r="A43" s="23" t="s">
        <v>1064</v>
      </c>
      <c r="B43" s="24">
        <v>375000</v>
      </c>
      <c r="C43" s="24">
        <v>153750</v>
      </c>
      <c r="D43" s="25">
        <f t="shared" si="0"/>
        <v>221250</v>
      </c>
      <c r="E43" s="24">
        <v>106000</v>
      </c>
      <c r="F43" s="25">
        <f t="shared" si="0"/>
        <v>115250</v>
      </c>
      <c r="G43" s="24">
        <v>400000</v>
      </c>
      <c r="H43" s="26">
        <v>188</v>
      </c>
      <c r="I43" s="25">
        <f t="shared" si="1"/>
        <v>1994.6808510638298</v>
      </c>
    </row>
    <row r="44" spans="1:9">
      <c r="A44" s="27" t="s">
        <v>1065</v>
      </c>
      <c r="B44" s="28">
        <v>410000</v>
      </c>
      <c r="C44" s="28">
        <v>159900</v>
      </c>
      <c r="D44" s="29">
        <f t="shared" si="0"/>
        <v>250100</v>
      </c>
      <c r="E44" s="28">
        <v>112000</v>
      </c>
      <c r="F44" s="29">
        <f t="shared" si="0"/>
        <v>138100</v>
      </c>
      <c r="G44" s="28">
        <v>420000</v>
      </c>
      <c r="H44" s="30">
        <v>205</v>
      </c>
      <c r="I44" s="29">
        <f t="shared" si="1"/>
        <v>2000</v>
      </c>
    </row>
    <row r="45" spans="1:9">
      <c r="A45" s="23" t="s">
        <v>1066</v>
      </c>
      <c r="B45" s="24">
        <v>425000</v>
      </c>
      <c r="C45" s="24">
        <v>161500</v>
      </c>
      <c r="D45" s="25">
        <f t="shared" si="0"/>
        <v>263500</v>
      </c>
      <c r="E45" s="24">
        <v>115000</v>
      </c>
      <c r="F45" s="25">
        <f t="shared" si="0"/>
        <v>148500</v>
      </c>
      <c r="G45" s="24">
        <v>440000</v>
      </c>
      <c r="H45" s="26">
        <v>213</v>
      </c>
      <c r="I45" s="25">
        <f t="shared" si="1"/>
        <v>1995.3051643192489</v>
      </c>
    </row>
    <row r="46" spans="1:9">
      <c r="A46" s="27" t="s">
        <v>1067</v>
      </c>
      <c r="B46" s="28">
        <v>450000</v>
      </c>
      <c r="C46" s="28">
        <v>171000</v>
      </c>
      <c r="D46" s="29">
        <f t="shared" si="0"/>
        <v>279000</v>
      </c>
      <c r="E46" s="28">
        <v>118000</v>
      </c>
      <c r="F46" s="29">
        <f t="shared" si="0"/>
        <v>161000</v>
      </c>
      <c r="G46" s="28">
        <v>460000</v>
      </c>
      <c r="H46" s="30">
        <v>225</v>
      </c>
      <c r="I46" s="29">
        <f t="shared" si="1"/>
        <v>2000</v>
      </c>
    </row>
    <row r="47" spans="1:9">
      <c r="A47" s="23" t="s">
        <v>1068</v>
      </c>
      <c r="B47" s="24">
        <v>470000</v>
      </c>
      <c r="C47" s="24">
        <v>173900</v>
      </c>
      <c r="D47" s="25">
        <f t="shared" si="0"/>
        <v>296100</v>
      </c>
      <c r="E47" s="24">
        <v>120000</v>
      </c>
      <c r="F47" s="25">
        <f t="shared" si="0"/>
        <v>176100</v>
      </c>
      <c r="G47" s="24">
        <v>480000</v>
      </c>
      <c r="H47" s="26">
        <v>235</v>
      </c>
      <c r="I47" s="25">
        <f t="shared" si="1"/>
        <v>2000</v>
      </c>
    </row>
    <row r="48" spans="1:9">
      <c r="A48" s="27" t="s">
        <v>1069</v>
      </c>
      <c r="B48" s="28">
        <v>520000</v>
      </c>
      <c r="C48" s="28">
        <v>187200</v>
      </c>
      <c r="D48" s="29">
        <f t="shared" si="0"/>
        <v>332800</v>
      </c>
      <c r="E48" s="28">
        <v>125000</v>
      </c>
      <c r="F48" s="29">
        <f t="shared" si="0"/>
        <v>207800</v>
      </c>
      <c r="G48" s="28">
        <v>500000</v>
      </c>
      <c r="H48" s="30">
        <v>260</v>
      </c>
      <c r="I48" s="29">
        <f t="shared" si="1"/>
        <v>2000</v>
      </c>
    </row>
    <row r="49" spans="1:9">
      <c r="A49" s="31" t="s">
        <v>1070</v>
      </c>
      <c r="B49" s="32">
        <f t="shared" ref="B49:H49" si="2">SUM(B37:B48)</f>
        <v>4665000</v>
      </c>
      <c r="C49" s="32">
        <f t="shared" si="2"/>
        <v>1824650</v>
      </c>
      <c r="D49" s="32">
        <f t="shared" si="2"/>
        <v>2840350</v>
      </c>
      <c r="E49" s="32">
        <f t="shared" si="2"/>
        <v>1304000</v>
      </c>
      <c r="F49" s="32">
        <f t="shared" si="2"/>
        <v>1536350</v>
      </c>
      <c r="G49" s="32">
        <f t="shared" si="2"/>
        <v>4800000</v>
      </c>
      <c r="H49" s="33">
        <f t="shared" si="2"/>
        <v>2333</v>
      </c>
      <c r="I49" s="32">
        <f>AVERAGE(I37:I48)</f>
        <v>1999.6989837561298</v>
      </c>
    </row>
    <row r="52" spans="1:9" ht="15.75">
      <c r="A52" s="115" t="s">
        <v>1071</v>
      </c>
      <c r="B52" s="114"/>
      <c r="C52" s="114"/>
    </row>
    <row r="53" spans="1:9">
      <c r="A53" s="22" t="s">
        <v>611</v>
      </c>
      <c r="B53" s="22" t="s">
        <v>1072</v>
      </c>
      <c r="C53" s="22" t="s">
        <v>1073</v>
      </c>
    </row>
    <row r="54" spans="1:9">
      <c r="A54" s="34" t="s">
        <v>1074</v>
      </c>
      <c r="B54" s="24">
        <v>720000</v>
      </c>
      <c r="C54" s="35" t="e">
        <f t="shared" ref="C54:C60" si="3">B54/SUM(B$23:B$29)</f>
        <v>#DIV/0!</v>
      </c>
    </row>
    <row r="55" spans="1:9">
      <c r="A55" s="34" t="s">
        <v>1075</v>
      </c>
      <c r="B55" s="24">
        <v>180000</v>
      </c>
      <c r="C55" s="35" t="e">
        <f t="shared" si="3"/>
        <v>#DIV/0!</v>
      </c>
    </row>
    <row r="56" spans="1:9">
      <c r="A56" s="34" t="s">
        <v>1076</v>
      </c>
      <c r="B56" s="24">
        <v>144000</v>
      </c>
      <c r="C56" s="35" t="e">
        <f t="shared" si="3"/>
        <v>#DIV/0!</v>
      </c>
    </row>
    <row r="57" spans="1:9">
      <c r="A57" s="34" t="s">
        <v>1077</v>
      </c>
      <c r="B57" s="24">
        <v>96000</v>
      </c>
      <c r="C57" s="35" t="e">
        <f t="shared" si="3"/>
        <v>#DIV/0!</v>
      </c>
    </row>
    <row r="58" spans="1:9">
      <c r="A58" s="34" t="s">
        <v>1078</v>
      </c>
      <c r="B58" s="24">
        <v>72000</v>
      </c>
      <c r="C58" s="35" t="e">
        <f t="shared" si="3"/>
        <v>#DIV/0!</v>
      </c>
    </row>
    <row r="59" spans="1:9">
      <c r="A59" s="34" t="s">
        <v>1079</v>
      </c>
      <c r="B59" s="24">
        <v>48000</v>
      </c>
      <c r="C59" s="35" t="e">
        <f t="shared" si="3"/>
        <v>#DIV/0!</v>
      </c>
    </row>
    <row r="60" spans="1:9">
      <c r="A60" s="34" t="s">
        <v>1080</v>
      </c>
      <c r="B60" s="24">
        <v>44000</v>
      </c>
      <c r="C60" s="35" t="e">
        <f t="shared" si="3"/>
        <v>#DIV/0!</v>
      </c>
    </row>
    <row r="63" spans="1:9" ht="15.75">
      <c r="A63" s="115" t="s">
        <v>1081</v>
      </c>
      <c r="B63" s="114"/>
      <c r="C63" s="114"/>
    </row>
    <row r="64" spans="1:9">
      <c r="A64" s="22" t="s">
        <v>1082</v>
      </c>
      <c r="B64" s="22" t="s">
        <v>1050</v>
      </c>
      <c r="C64" s="22" t="s">
        <v>1073</v>
      </c>
    </row>
    <row r="65" spans="1:3">
      <c r="A65" s="34" t="s">
        <v>1083</v>
      </c>
      <c r="B65" s="24">
        <v>2680000</v>
      </c>
      <c r="C65" s="35">
        <f t="shared" ref="C65:C68" si="4">B65/SUM(B$34:B$37)</f>
        <v>9.4035087719298254</v>
      </c>
    </row>
    <row r="66" spans="1:3">
      <c r="A66" s="34" t="s">
        <v>1084</v>
      </c>
      <c r="B66" s="24">
        <v>1180000</v>
      </c>
      <c r="C66" s="35">
        <f t="shared" si="4"/>
        <v>4.1403508771929829</v>
      </c>
    </row>
    <row r="67" spans="1:3">
      <c r="A67" s="34" t="s">
        <v>1085</v>
      </c>
      <c r="B67" s="24">
        <v>620000</v>
      </c>
      <c r="C67" s="35">
        <f t="shared" si="4"/>
        <v>2.1754385964912282</v>
      </c>
    </row>
    <row r="68" spans="1:3">
      <c r="A68" s="34" t="s">
        <v>1086</v>
      </c>
      <c r="B68" s="24">
        <v>185000</v>
      </c>
      <c r="C68" s="35">
        <f t="shared" si="4"/>
        <v>0.64912280701754388</v>
      </c>
    </row>
  </sheetData>
  <mergeCells count="4">
    <mergeCell ref="A33:I33"/>
    <mergeCell ref="A35:I35"/>
    <mergeCell ref="A52:C52"/>
    <mergeCell ref="A63:C63"/>
  </mergeCells>
  <conditionalFormatting sqref="C54:C60">
    <cfRule type="dataBar" priority="4">
      <dataBar>
        <cfvo type="min"/>
        <cfvo type="max"/>
        <color rgb="FF2F5496"/>
      </dataBar>
      <extLst>
        <ext xmlns:x14="http://schemas.microsoft.com/office/spreadsheetml/2009/9/main" uri="{B025F937-C7B1-47D3-B67F-A62EFF666E3E}">
          <x14:id>{1529B2B0-3F07-44BF-88D0-C8FAD5E95AD2}</x14:id>
        </ext>
      </extLst>
    </cfRule>
  </conditionalFormatting>
  <conditionalFormatting sqref="C65:C68">
    <cfRule type="dataBar" priority="3">
      <dataBar>
        <cfvo type="min"/>
        <cfvo type="max"/>
        <color rgb="FF2F5496"/>
      </dataBar>
      <extLst>
        <ext xmlns:x14="http://schemas.microsoft.com/office/spreadsheetml/2009/9/main" uri="{B025F937-C7B1-47D3-B67F-A62EFF666E3E}">
          <x14:id>{799C07EA-CD98-4552-BF9D-9417D4EE572A}</x14:id>
        </ext>
      </extLst>
    </cfRule>
  </conditionalFormatting>
  <conditionalFormatting sqref="F37:F48">
    <cfRule type="cellIs" dxfId="1" priority="1" operator="lessThan">
      <formula>0</formula>
    </cfRule>
    <cfRule type="cellIs" dxfId="0" priority="2" operator="greaterThanOrEqual">
      <formula>0</formula>
    </cfRule>
  </conditionalFormatting>
  <dataValidations count="2">
    <dataValidation type="decimal" operator="greaterThanOrEqual" allowBlank="1" showInputMessage="1" showErrorMessage="1" error="Invalid: Value must be zero or positive." sqref="E37:E48 G37:G48 B37:C48" xr:uid="{A808224F-DAC1-4253-8D24-E23DC5E4D1CA}">
      <formula1>0</formula1>
    </dataValidation>
    <dataValidation type="whole" operator="greaterThanOrEqual" allowBlank="1" showInputMessage="1" showErrorMessage="1" error="Invalid: Customers must be a positive whole number." sqref="H37:H48" xr:uid="{6720D870-D386-4A93-B791-A5BC3510A62B}">
      <formula1>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9B2B0-3F07-44BF-88D0-C8FAD5E95AD2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C54:C60</xm:sqref>
        </x14:conditionalFormatting>
        <x14:conditionalFormatting xmlns:xm="http://schemas.microsoft.com/office/excel/2006/main">
          <x14:cfRule type="dataBar" id="{799C07EA-CD98-4552-BF9D-9417D4EE572A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C65:C68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2AFA-4989-48C2-82D7-C8D8425310D8}">
  <sheetPr>
    <tabColor rgb="FF1D2330"/>
  </sheetPr>
  <dimension ref="A1:H80"/>
  <sheetViews>
    <sheetView showGridLines="0" workbookViewId="0">
      <selection activeCell="B1" sqref="B1"/>
    </sheetView>
  </sheetViews>
  <sheetFormatPr defaultRowHeight="15"/>
  <cols>
    <col min="1" max="1" width="72.7109375" bestFit="1" customWidth="1"/>
    <col min="2" max="2" width="98.28515625" bestFit="1" customWidth="1"/>
    <col min="3" max="3" width="41.42578125" bestFit="1" customWidth="1"/>
    <col min="4" max="4" width="12.5703125" bestFit="1" customWidth="1"/>
    <col min="5" max="5" width="9.85546875" bestFit="1" customWidth="1"/>
    <col min="6" max="6" width="18.140625" bestFit="1" customWidth="1"/>
    <col min="7" max="7" width="12.85546875" bestFit="1" customWidth="1"/>
    <col min="8" max="8" width="12.140625" bestFit="1" customWidth="1"/>
  </cols>
  <sheetData>
    <row r="1" spans="1:8" ht="37.5">
      <c r="A1" s="13" t="s">
        <v>1119</v>
      </c>
      <c r="B1" s="13"/>
      <c r="C1" s="13"/>
      <c r="D1" s="13"/>
      <c r="E1" s="13"/>
      <c r="F1" s="13"/>
      <c r="G1" s="13"/>
      <c r="H1" s="13"/>
    </row>
    <row r="2" spans="1:8">
      <c r="A2" s="11"/>
      <c r="B2" s="11"/>
      <c r="C2" s="11"/>
      <c r="D2" s="11"/>
      <c r="E2" s="11"/>
      <c r="F2" s="11"/>
      <c r="G2" s="11"/>
      <c r="H2" s="11"/>
    </row>
    <row r="3" spans="1:8" ht="26.25">
      <c r="A3" s="14" t="s">
        <v>874</v>
      </c>
      <c r="B3" s="14" t="s">
        <v>875</v>
      </c>
      <c r="C3" s="14" t="s">
        <v>435</v>
      </c>
      <c r="D3" s="14" t="s">
        <v>436</v>
      </c>
      <c r="E3" s="14" t="s">
        <v>437</v>
      </c>
      <c r="F3" s="14" t="s">
        <v>876</v>
      </c>
      <c r="G3" s="14" t="s">
        <v>32</v>
      </c>
      <c r="H3" s="14" t="s">
        <v>8</v>
      </c>
    </row>
    <row r="4" spans="1:8" ht="64.5">
      <c r="A4" s="11" t="s">
        <v>877</v>
      </c>
      <c r="B4" s="18" t="s">
        <v>1045</v>
      </c>
      <c r="C4" s="11" t="s">
        <v>878</v>
      </c>
      <c r="D4" s="11" t="s">
        <v>879</v>
      </c>
      <c r="E4" s="11" t="s">
        <v>880</v>
      </c>
      <c r="F4" s="11" t="s">
        <v>881</v>
      </c>
      <c r="G4" s="11" t="s">
        <v>27</v>
      </c>
      <c r="H4" s="11" t="s">
        <v>19</v>
      </c>
    </row>
    <row r="5" spans="1:8" ht="64.5">
      <c r="A5" s="11" t="s">
        <v>882</v>
      </c>
      <c r="B5" s="11" t="s">
        <v>883</v>
      </c>
      <c r="C5" s="11" t="s">
        <v>884</v>
      </c>
      <c r="D5" s="11" t="s">
        <v>885</v>
      </c>
      <c r="E5" s="11" t="s">
        <v>886</v>
      </c>
      <c r="F5" s="11" t="s">
        <v>887</v>
      </c>
      <c r="G5" s="11" t="s">
        <v>369</v>
      </c>
      <c r="H5" s="11" t="s">
        <v>19</v>
      </c>
    </row>
    <row r="6" spans="1:8" ht="64.5">
      <c r="A6" s="11" t="s">
        <v>888</v>
      </c>
      <c r="B6" s="11" t="s">
        <v>889</v>
      </c>
      <c r="C6" s="11" t="s">
        <v>890</v>
      </c>
      <c r="D6" s="11" t="s">
        <v>891</v>
      </c>
      <c r="E6" s="11" t="s">
        <v>892</v>
      </c>
      <c r="F6" s="11" t="s">
        <v>893</v>
      </c>
      <c r="G6" s="11" t="s">
        <v>27</v>
      </c>
      <c r="H6" s="11" t="s">
        <v>19</v>
      </c>
    </row>
    <row r="7" spans="1:8" ht="64.5">
      <c r="A7" s="11" t="s">
        <v>894</v>
      </c>
      <c r="B7" s="11" t="s">
        <v>895</v>
      </c>
      <c r="C7" s="11" t="s">
        <v>896</v>
      </c>
      <c r="D7" s="11" t="s">
        <v>897</v>
      </c>
      <c r="E7" s="11" t="s">
        <v>898</v>
      </c>
      <c r="F7" s="11" t="s">
        <v>899</v>
      </c>
      <c r="G7" s="11" t="s">
        <v>72</v>
      </c>
      <c r="H7" s="11" t="s">
        <v>380</v>
      </c>
    </row>
    <row r="8" spans="1:8" ht="39">
      <c r="A8" s="11" t="s">
        <v>900</v>
      </c>
      <c r="B8" s="11" t="s">
        <v>901</v>
      </c>
      <c r="C8" s="11" t="s">
        <v>902</v>
      </c>
      <c r="D8" s="11" t="s">
        <v>903</v>
      </c>
      <c r="E8" s="11" t="s">
        <v>904</v>
      </c>
      <c r="F8" s="11" t="s">
        <v>481</v>
      </c>
      <c r="G8" s="11" t="s">
        <v>147</v>
      </c>
      <c r="H8" s="11" t="s">
        <v>380</v>
      </c>
    </row>
    <row r="9" spans="1:8" ht="51.75">
      <c r="A9" s="11" t="s">
        <v>905</v>
      </c>
      <c r="B9" s="11" t="s">
        <v>906</v>
      </c>
      <c r="C9" s="11" t="s">
        <v>907</v>
      </c>
      <c r="D9" s="11" t="s">
        <v>908</v>
      </c>
      <c r="E9" s="11" t="s">
        <v>909</v>
      </c>
      <c r="F9" s="11" t="s">
        <v>910</v>
      </c>
      <c r="G9" s="11" t="s">
        <v>110</v>
      </c>
      <c r="H9" s="11" t="s">
        <v>51</v>
      </c>
    </row>
    <row r="10" spans="1:8" ht="64.5">
      <c r="A10" s="11" t="s">
        <v>911</v>
      </c>
      <c r="B10" s="11" t="s">
        <v>912</v>
      </c>
      <c r="C10" s="11" t="s">
        <v>913</v>
      </c>
      <c r="D10" s="11" t="s">
        <v>914</v>
      </c>
      <c r="E10" s="11" t="s">
        <v>915</v>
      </c>
      <c r="F10" s="11" t="s">
        <v>916</v>
      </c>
      <c r="G10" s="11" t="s">
        <v>27</v>
      </c>
      <c r="H10" s="11" t="s">
        <v>51</v>
      </c>
    </row>
    <row r="11" spans="1:8" ht="51.75">
      <c r="A11" s="11" t="s">
        <v>917</v>
      </c>
      <c r="B11" s="11" t="s">
        <v>918</v>
      </c>
      <c r="C11" s="11" t="s">
        <v>919</v>
      </c>
      <c r="D11" s="11" t="s">
        <v>920</v>
      </c>
      <c r="E11" s="11" t="s">
        <v>921</v>
      </c>
      <c r="F11" s="11" t="s">
        <v>922</v>
      </c>
      <c r="G11" s="11" t="s">
        <v>47</v>
      </c>
      <c r="H11" s="11" t="s">
        <v>19</v>
      </c>
    </row>
    <row r="12" spans="1:8" ht="51.75">
      <c r="A12" s="11" t="s">
        <v>923</v>
      </c>
      <c r="B12" s="11" t="s">
        <v>924</v>
      </c>
      <c r="C12" s="11" t="s">
        <v>925</v>
      </c>
      <c r="D12" s="11" t="s">
        <v>926</v>
      </c>
      <c r="E12" s="11" t="s">
        <v>927</v>
      </c>
      <c r="F12" s="11" t="s">
        <v>928</v>
      </c>
      <c r="G12" s="11" t="s">
        <v>70</v>
      </c>
      <c r="H12" s="11" t="s">
        <v>19</v>
      </c>
    </row>
    <row r="13" spans="1:8" ht="64.5">
      <c r="A13" s="11" t="s">
        <v>929</v>
      </c>
      <c r="B13" s="11" t="s">
        <v>930</v>
      </c>
      <c r="C13" s="11" t="s">
        <v>931</v>
      </c>
      <c r="D13" s="11" t="s">
        <v>932</v>
      </c>
      <c r="E13" s="11" t="s">
        <v>933</v>
      </c>
      <c r="F13" s="11" t="s">
        <v>934</v>
      </c>
      <c r="G13" s="11" t="s">
        <v>935</v>
      </c>
      <c r="H13" s="11" t="s">
        <v>19</v>
      </c>
    </row>
    <row r="14" spans="1:8" ht="51.75">
      <c r="A14" s="11" t="s">
        <v>936</v>
      </c>
      <c r="B14" s="11" t="s">
        <v>937</v>
      </c>
      <c r="C14" s="11" t="s">
        <v>938</v>
      </c>
      <c r="D14" s="11" t="s">
        <v>939</v>
      </c>
      <c r="E14" s="11" t="s">
        <v>940</v>
      </c>
      <c r="F14" s="11" t="s">
        <v>762</v>
      </c>
      <c r="G14" s="11" t="s">
        <v>70</v>
      </c>
      <c r="H14" s="11" t="s">
        <v>19</v>
      </c>
    </row>
    <row r="15" spans="1:8" ht="39">
      <c r="A15" s="11" t="s">
        <v>941</v>
      </c>
      <c r="B15" s="11" t="s">
        <v>942</v>
      </c>
      <c r="C15" s="11" t="s">
        <v>943</v>
      </c>
      <c r="D15" s="11" t="s">
        <v>944</v>
      </c>
      <c r="E15" s="11" t="s">
        <v>945</v>
      </c>
      <c r="F15" s="11" t="s">
        <v>946</v>
      </c>
      <c r="G15" s="11" t="s">
        <v>53</v>
      </c>
      <c r="H15" s="11" t="s">
        <v>19</v>
      </c>
    </row>
    <row r="16" spans="1:8" ht="39">
      <c r="A16" s="11" t="s">
        <v>947</v>
      </c>
      <c r="B16" s="11" t="s">
        <v>948</v>
      </c>
      <c r="C16" s="11" t="s">
        <v>949</v>
      </c>
      <c r="D16" s="11" t="s">
        <v>950</v>
      </c>
      <c r="E16" s="11" t="s">
        <v>951</v>
      </c>
      <c r="F16" s="11" t="s">
        <v>457</v>
      </c>
      <c r="G16" s="11" t="s">
        <v>53</v>
      </c>
      <c r="H16" s="11" t="s">
        <v>19</v>
      </c>
    </row>
    <row r="17" spans="1:8" ht="39">
      <c r="A17" s="11" t="s">
        <v>952</v>
      </c>
      <c r="B17" s="11" t="s">
        <v>953</v>
      </c>
      <c r="C17" s="11" t="s">
        <v>954</v>
      </c>
      <c r="D17" s="11" t="s">
        <v>955</v>
      </c>
      <c r="E17" s="11" t="s">
        <v>956</v>
      </c>
      <c r="F17" s="11" t="s">
        <v>957</v>
      </c>
      <c r="G17" s="11" t="s">
        <v>124</v>
      </c>
      <c r="H17" s="11" t="s">
        <v>19</v>
      </c>
    </row>
    <row r="18" spans="1:8" ht="39">
      <c r="A18" s="11" t="s">
        <v>958</v>
      </c>
      <c r="B18" s="11" t="s">
        <v>959</v>
      </c>
      <c r="C18" s="11" t="s">
        <v>960</v>
      </c>
      <c r="D18" s="11" t="s">
        <v>961</v>
      </c>
      <c r="E18" s="11" t="s">
        <v>962</v>
      </c>
      <c r="F18" s="11" t="s">
        <v>762</v>
      </c>
      <c r="G18" s="11" t="s">
        <v>27</v>
      </c>
      <c r="H18" s="11" t="s">
        <v>19</v>
      </c>
    </row>
    <row r="19" spans="1:8" ht="51.75">
      <c r="A19" s="11" t="s">
        <v>963</v>
      </c>
      <c r="B19" s="11" t="s">
        <v>964</v>
      </c>
      <c r="C19" s="11" t="s">
        <v>965</v>
      </c>
      <c r="D19" s="11" t="s">
        <v>966</v>
      </c>
      <c r="E19" s="11" t="s">
        <v>967</v>
      </c>
      <c r="F19" s="11" t="s">
        <v>763</v>
      </c>
      <c r="G19" s="11" t="s">
        <v>47</v>
      </c>
      <c r="H19" s="11" t="s">
        <v>864</v>
      </c>
    </row>
    <row r="20" spans="1:8" ht="39">
      <c r="A20" s="11" t="s">
        <v>968</v>
      </c>
      <c r="B20" s="11" t="s">
        <v>969</v>
      </c>
      <c r="C20" s="11" t="s">
        <v>970</v>
      </c>
      <c r="D20" s="11" t="s">
        <v>971</v>
      </c>
      <c r="E20" s="11" t="s">
        <v>972</v>
      </c>
      <c r="F20" s="11" t="s">
        <v>973</v>
      </c>
      <c r="G20" s="11" t="s">
        <v>53</v>
      </c>
      <c r="H20" s="11" t="s">
        <v>19</v>
      </c>
    </row>
    <row r="21" spans="1:8" ht="64.5">
      <c r="A21" s="11" t="s">
        <v>974</v>
      </c>
      <c r="B21" s="11" t="s">
        <v>975</v>
      </c>
      <c r="C21" s="11" t="s">
        <v>976</v>
      </c>
      <c r="D21" s="11" t="s">
        <v>977</v>
      </c>
      <c r="E21" s="11" t="s">
        <v>978</v>
      </c>
      <c r="F21" s="11" t="s">
        <v>979</v>
      </c>
      <c r="G21" s="11" t="s">
        <v>53</v>
      </c>
      <c r="H21" s="11" t="s">
        <v>19</v>
      </c>
    </row>
    <row r="22" spans="1:8" ht="39">
      <c r="A22" s="11" t="s">
        <v>980</v>
      </c>
      <c r="B22" s="11" t="s">
        <v>981</v>
      </c>
      <c r="C22" s="11" t="s">
        <v>982</v>
      </c>
      <c r="D22" s="11" t="s">
        <v>983</v>
      </c>
      <c r="E22" s="11" t="s">
        <v>984</v>
      </c>
      <c r="F22" s="11" t="s">
        <v>985</v>
      </c>
      <c r="G22" s="11" t="s">
        <v>37</v>
      </c>
      <c r="H22" s="11" t="s">
        <v>51</v>
      </c>
    </row>
    <row r="23" spans="1:8" ht="39">
      <c r="A23" s="11" t="s">
        <v>980</v>
      </c>
      <c r="B23" s="11" t="s">
        <v>986</v>
      </c>
      <c r="C23" s="11" t="s">
        <v>987</v>
      </c>
      <c r="D23" s="11" t="s">
        <v>988</v>
      </c>
      <c r="E23" s="11" t="s">
        <v>989</v>
      </c>
      <c r="F23" s="11" t="s">
        <v>990</v>
      </c>
      <c r="G23" s="11" t="s">
        <v>55</v>
      </c>
      <c r="H23" s="11" t="s">
        <v>51</v>
      </c>
    </row>
    <row r="24" spans="1:8" ht="51.75">
      <c r="A24" s="11" t="s">
        <v>980</v>
      </c>
      <c r="B24" s="11" t="s">
        <v>991</v>
      </c>
      <c r="C24" s="11" t="s">
        <v>992</v>
      </c>
      <c r="D24" s="11" t="s">
        <v>993</v>
      </c>
      <c r="E24" s="11" t="s">
        <v>994</v>
      </c>
      <c r="F24" s="11" t="s">
        <v>995</v>
      </c>
      <c r="G24" s="11" t="s">
        <v>56</v>
      </c>
      <c r="H24" s="11" t="s">
        <v>51</v>
      </c>
    </row>
    <row r="25" spans="1:8" ht="51.75">
      <c r="A25" s="11" t="s">
        <v>980</v>
      </c>
      <c r="B25" s="11" t="s">
        <v>996</v>
      </c>
      <c r="C25" s="11" t="s">
        <v>997</v>
      </c>
      <c r="D25" s="11" t="s">
        <v>998</v>
      </c>
      <c r="E25" s="11" t="s">
        <v>999</v>
      </c>
      <c r="F25" s="11" t="s">
        <v>457</v>
      </c>
      <c r="G25" s="11" t="s">
        <v>39</v>
      </c>
      <c r="H25" s="11" t="s">
        <v>51</v>
      </c>
    </row>
    <row r="26" spans="1:8" ht="39">
      <c r="A26" s="11" t="s">
        <v>1000</v>
      </c>
      <c r="B26" s="11" t="s">
        <v>1001</v>
      </c>
      <c r="C26" s="11" t="s">
        <v>1002</v>
      </c>
      <c r="D26" s="11" t="s">
        <v>1003</v>
      </c>
      <c r="E26" s="11" t="s">
        <v>1004</v>
      </c>
      <c r="F26" s="11" t="s">
        <v>1005</v>
      </c>
      <c r="G26" s="11" t="s">
        <v>70</v>
      </c>
      <c r="H26" s="11" t="s">
        <v>19</v>
      </c>
    </row>
    <row r="27" spans="1:8" ht="39">
      <c r="A27" s="11" t="s">
        <v>1000</v>
      </c>
      <c r="B27" s="11" t="s">
        <v>1006</v>
      </c>
      <c r="C27" s="11" t="s">
        <v>1007</v>
      </c>
      <c r="D27" s="11" t="s">
        <v>1008</v>
      </c>
      <c r="E27" s="11" t="s">
        <v>1009</v>
      </c>
      <c r="F27" s="11" t="s">
        <v>1010</v>
      </c>
      <c r="G27" s="11" t="s">
        <v>70</v>
      </c>
      <c r="H27" s="11" t="s">
        <v>25</v>
      </c>
    </row>
    <row r="28" spans="1:8" ht="51.75">
      <c r="A28" s="11" t="s">
        <v>1011</v>
      </c>
      <c r="B28" s="11" t="s">
        <v>1012</v>
      </c>
      <c r="C28" s="11" t="s">
        <v>1013</v>
      </c>
      <c r="D28" s="11" t="s">
        <v>1014</v>
      </c>
      <c r="E28" s="11" t="s">
        <v>1015</v>
      </c>
      <c r="F28" s="11" t="s">
        <v>1016</v>
      </c>
      <c r="G28" s="11" t="s">
        <v>7</v>
      </c>
      <c r="H28" s="11" t="s">
        <v>19</v>
      </c>
    </row>
    <row r="29" spans="1:8" ht="51.75">
      <c r="A29" s="11" t="s">
        <v>1017</v>
      </c>
      <c r="B29" s="11" t="s">
        <v>1018</v>
      </c>
      <c r="C29" s="11" t="s">
        <v>1019</v>
      </c>
      <c r="D29" s="11" t="s">
        <v>1020</v>
      </c>
      <c r="E29" s="11" t="s">
        <v>1021</v>
      </c>
      <c r="F29" s="11" t="s">
        <v>1022</v>
      </c>
      <c r="G29" s="11" t="s">
        <v>27</v>
      </c>
      <c r="H29" s="11" t="s">
        <v>69</v>
      </c>
    </row>
    <row r="30" spans="1:8" ht="77.25">
      <c r="A30" s="11" t="s">
        <v>1023</v>
      </c>
      <c r="B30" s="11" t="s">
        <v>1024</v>
      </c>
      <c r="C30" s="11" t="s">
        <v>1025</v>
      </c>
      <c r="D30" s="11" t="s">
        <v>1026</v>
      </c>
      <c r="E30" s="11" t="s">
        <v>1027</v>
      </c>
      <c r="F30" s="11" t="s">
        <v>1028</v>
      </c>
      <c r="G30" s="11" t="s">
        <v>53</v>
      </c>
      <c r="H30" s="11" t="s">
        <v>1029</v>
      </c>
    </row>
    <row r="31" spans="1:8" ht="39">
      <c r="A31" s="11" t="s">
        <v>1030</v>
      </c>
      <c r="B31" s="11" t="s">
        <v>1031</v>
      </c>
      <c r="C31" s="11" t="s">
        <v>1032</v>
      </c>
      <c r="D31" s="11" t="s">
        <v>1033</v>
      </c>
      <c r="E31" s="11" t="s">
        <v>1034</v>
      </c>
      <c r="F31" s="11" t="s">
        <v>1035</v>
      </c>
      <c r="G31" s="11" t="s">
        <v>27</v>
      </c>
      <c r="H31" s="11" t="s">
        <v>25</v>
      </c>
    </row>
    <row r="32" spans="1:8" ht="39">
      <c r="A32" s="11" t="s">
        <v>1036</v>
      </c>
      <c r="B32" s="11" t="s">
        <v>1041</v>
      </c>
      <c r="C32" s="11" t="s">
        <v>1037</v>
      </c>
      <c r="D32" s="11" t="s">
        <v>1038</v>
      </c>
      <c r="E32" s="11" t="s">
        <v>1039</v>
      </c>
      <c r="F32" s="11" t="s">
        <v>1040</v>
      </c>
      <c r="G32" s="11" t="s">
        <v>53</v>
      </c>
      <c r="H32" s="11" t="s">
        <v>19</v>
      </c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Documents Management</vt:lpstr>
      <vt:lpstr>BOM Management (EBOM_MBOM)</vt:lpstr>
      <vt:lpstr>Change Management (Change_Log)</vt:lpstr>
      <vt:lpstr>Change Management (ECN)</vt:lpstr>
      <vt:lpstr>Validation &amp; Release Management</vt:lpstr>
      <vt:lpstr>Risk Management</vt:lpstr>
      <vt:lpstr>Cost Benefit Analysis</vt:lpstr>
      <vt:lpstr>Dashboard</vt:lpstr>
      <vt:lpstr>Executive Report</vt:lpstr>
      <vt:lpstr>'Documents Management'!_Toc11120784</vt:lpstr>
      <vt:lpstr>'Documents Management'!_Toc57468547</vt:lpstr>
      <vt:lpstr>'Documents Management'!_Toc57468548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Mehrnia, Seyedmajid</dc:creator>
  <cp:lastModifiedBy>Mehrnia, Seyedmajid</cp:lastModifiedBy>
  <dcterms:created xsi:type="dcterms:W3CDTF">2015-06-05T18:19:34Z</dcterms:created>
  <dcterms:modified xsi:type="dcterms:W3CDTF">2026-06-10T19:51:12Z</dcterms:modified>
</cp:coreProperties>
</file>