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ehrnia\Desktop\Job\AtlasCopco\Business Analysis Project and Stakeholder Management\Excel_PLM\"/>
    </mc:Choice>
  </mc:AlternateContent>
  <xr:revisionPtr revIDLastSave="0" documentId="13_ncr:1_{949DCEDA-8198-4F7A-8CA5-9AA4FE5246FD}" xr6:coauthVersionLast="47" xr6:coauthVersionMax="47" xr10:uidLastSave="{00000000-0000-0000-0000-000000000000}"/>
  <bookViews>
    <workbookView xWindow="-120" yWindow="-120" windowWidth="20730" windowHeight="11160" tabRatio="894" firstSheet="3" activeTab="7" xr2:uid="{00000000-000D-0000-FFFF-FFFF00000000}"/>
  </bookViews>
  <sheets>
    <sheet name="Documents Management" sheetId="1" r:id="rId1"/>
    <sheet name="BOM Management (EBOM_MBOM)" sheetId="3" r:id="rId2"/>
    <sheet name="Change Management (Change_Log)" sheetId="4" r:id="rId3"/>
    <sheet name="Change Management (ECN)" sheetId="11" r:id="rId4"/>
    <sheet name="Validation &amp; Release Management" sheetId="13" r:id="rId5"/>
    <sheet name="Risk Management" sheetId="12" r:id="rId6"/>
    <sheet name=" Cost Benefit Analysis" sheetId="10" r:id="rId7"/>
    <sheet name="Dashboard" sheetId="9" r:id="rId8"/>
  </sheets>
  <externalReferences>
    <externalReference r:id="rId9"/>
  </externalReferences>
  <definedNames>
    <definedName name="_Toc11120784" localSheetId="0">'Documents Management'!$A$3</definedName>
    <definedName name="_Toc57468547" localSheetId="0">'Documents Management'!$A$12</definedName>
    <definedName name="_Toc57468548" localSheetId="0">'Documents Management'!$A$20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24" i="10" l="1"/>
  <c r="D24" i="10"/>
  <c r="C24" i="10"/>
  <c r="E22" i="10"/>
  <c r="D22" i="10"/>
  <c r="C22" i="10"/>
  <c r="E21" i="10"/>
  <c r="D21" i="10"/>
  <c r="C21" i="10"/>
  <c r="B21" i="10"/>
  <c r="E20" i="10"/>
  <c r="D20" i="10"/>
  <c r="C20" i="10"/>
  <c r="B20" i="10"/>
  <c r="E19" i="10"/>
  <c r="D19" i="10"/>
  <c r="C19" i="10"/>
  <c r="B19" i="10"/>
  <c r="E18" i="10"/>
  <c r="D18" i="10"/>
  <c r="C18" i="10"/>
  <c r="B18" i="10"/>
  <c r="E17" i="10"/>
  <c r="D17" i="10"/>
  <c r="C17" i="10"/>
  <c r="B17" i="10"/>
  <c r="E16" i="10"/>
  <c r="D16" i="10"/>
  <c r="C16" i="10"/>
  <c r="B16" i="10"/>
  <c r="E15" i="10"/>
  <c r="D15" i="10"/>
  <c r="C15" i="10"/>
  <c r="B15" i="10"/>
  <c r="E14" i="10"/>
  <c r="D14" i="10"/>
  <c r="C14" i="10"/>
  <c r="B14" i="10"/>
  <c r="E13" i="10"/>
  <c r="D13" i="10"/>
  <c r="C13" i="10"/>
  <c r="B13" i="10"/>
  <c r="E12" i="10"/>
  <c r="D12" i="10"/>
  <c r="C12" i="10"/>
  <c r="B12" i="10"/>
  <c r="E11" i="10"/>
  <c r="D11" i="10"/>
  <c r="C11" i="10"/>
  <c r="B11" i="10"/>
  <c r="E10" i="10"/>
  <c r="D10" i="10"/>
  <c r="C10" i="10"/>
  <c r="B10" i="10"/>
  <c r="E9" i="10"/>
  <c r="D9" i="10"/>
  <c r="C9" i="10"/>
  <c r="B9" i="10"/>
  <c r="E8" i="10"/>
  <c r="D8" i="10"/>
  <c r="C8" i="10"/>
  <c r="B8" i="10"/>
  <c r="E7" i="10"/>
  <c r="D7" i="10"/>
  <c r="C7" i="10"/>
  <c r="B7" i="10"/>
  <c r="E6" i="10"/>
  <c r="D6" i="10"/>
  <c r="C6" i="10"/>
  <c r="B6" i="10"/>
  <c r="E5" i="10"/>
  <c r="D5" i="10"/>
  <c r="C5" i="10"/>
  <c r="C23" i="10" l="1"/>
  <c r="D23" i="10"/>
  <c r="E23" i="10"/>
  <c r="D37" i="9" l="1"/>
  <c r="D36" i="9"/>
  <c r="D35" i="9"/>
  <c r="D34" i="9"/>
  <c r="D29" i="9"/>
  <c r="D28" i="9"/>
  <c r="D27" i="9"/>
  <c r="D26" i="9"/>
  <c r="D25" i="9"/>
  <c r="D24" i="9"/>
  <c r="D23" i="9"/>
  <c r="I18" i="9"/>
  <c r="H18" i="9"/>
  <c r="F18" i="9"/>
  <c r="D18" i="9"/>
  <c r="C18" i="9"/>
  <c r="J17" i="9"/>
  <c r="E17" i="9"/>
  <c r="G17" i="9" s="1"/>
  <c r="J16" i="9"/>
  <c r="E16" i="9"/>
  <c r="G16" i="9" s="1"/>
  <c r="J15" i="9"/>
  <c r="E15" i="9"/>
  <c r="G15" i="9" s="1"/>
  <c r="J14" i="9"/>
  <c r="E14" i="9"/>
  <c r="G14" i="9" s="1"/>
  <c r="J13" i="9"/>
  <c r="E13" i="9"/>
  <c r="G13" i="9" s="1"/>
  <c r="J12" i="9"/>
  <c r="E12" i="9"/>
  <c r="G12" i="9" s="1"/>
  <c r="J11" i="9"/>
  <c r="E11" i="9"/>
  <c r="G11" i="9" s="1"/>
  <c r="J10" i="9"/>
  <c r="E10" i="9"/>
  <c r="G10" i="9" s="1"/>
  <c r="J9" i="9"/>
  <c r="E9" i="9"/>
  <c r="G9" i="9" s="1"/>
  <c r="J8" i="9"/>
  <c r="E8" i="9"/>
  <c r="G8" i="9" s="1"/>
  <c r="J7" i="9"/>
  <c r="E7" i="9"/>
  <c r="G7" i="9" s="1"/>
  <c r="J6" i="9"/>
  <c r="J18" i="9" s="1"/>
  <c r="E6" i="9"/>
  <c r="E18" i="9" l="1"/>
  <c r="G6" i="9"/>
  <c r="G18"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VITA Program</author>
  </authors>
  <commentList>
    <comment ref="C1" authorId="0" shapeId="0" xr:uid="{CC323CC1-FD6C-4D9B-8471-172EDEBB52C7}">
      <text>
        <r>
          <rPr>
            <sz val="9"/>
            <color indexed="81"/>
            <rFont val="Tahoma"/>
            <charset val="1"/>
          </rPr>
          <t>Insert project name here.</t>
        </r>
      </text>
    </comment>
    <comment ref="D3" authorId="0" shapeId="0" xr:uid="{081A4C29-437D-47B4-B303-8D6699F48947}">
      <text>
        <r>
          <rPr>
            <sz val="9"/>
            <color indexed="81"/>
            <rFont val="Tahoma"/>
            <family val="2"/>
          </rPr>
          <t>Insert the period of analysis here.  The period should cover the amount of time to implement the longest duration project, plus six years of Operations &amp; Maintenance. (O&amp;M)</t>
        </r>
      </text>
    </comment>
    <comment ref="B4" authorId="0" shapeId="0" xr:uid="{98DCA441-ECD4-44ED-BACD-D06A98901C0E}">
      <text>
        <r>
          <rPr>
            <sz val="9"/>
            <color indexed="81"/>
            <rFont val="Tahoma"/>
            <family val="2"/>
          </rPr>
          <t>Insert the names of the various alternatives here.  The names will be automatically repeated on the corresponding tab.</t>
        </r>
      </text>
    </comment>
    <comment ref="C4" authorId="0" shapeId="0" xr:uid="{597B285B-3459-46C1-BCBC-E12E0C925A81}">
      <text>
        <r>
          <rPr>
            <sz val="9"/>
            <color indexed="81"/>
            <rFont val="Tahoma"/>
            <family val="2"/>
          </rPr>
          <t>Insert the names of the various alternatives here.  The names will be automatically repeated on the corresponding tab.</t>
        </r>
      </text>
    </comment>
    <comment ref="D4" authorId="0" shapeId="0" xr:uid="{653BA9C7-F9D7-44DD-A32C-DC2FFA32E6AA}">
      <text>
        <r>
          <rPr>
            <sz val="9"/>
            <color indexed="81"/>
            <rFont val="Tahoma"/>
            <family val="2"/>
          </rPr>
          <t>Insert the names of the various alternatives here.  The names will be automatically repeated on the corresponding tab.</t>
        </r>
      </text>
    </comment>
    <comment ref="E4" authorId="0" shapeId="0" xr:uid="{BCC076E8-62E9-4983-8575-27EAAF5230B1}">
      <text>
        <r>
          <rPr>
            <sz val="9"/>
            <color indexed="81"/>
            <rFont val="Tahoma"/>
            <family val="2"/>
          </rPr>
          <t>Insert the names of the various alternatives here.  The names will be automatically repeated on the corresponding tab.</t>
        </r>
      </text>
    </comment>
    <comment ref="C25" authorId="0" shapeId="0" xr:uid="{1465EA7B-87C6-4BCA-AB1F-D3162ABF93AD}">
      <text>
        <r>
          <rPr>
            <sz val="9"/>
            <color indexed="81"/>
            <rFont val="Tahoma"/>
            <family val="2"/>
          </rPr>
          <t>Look at the ROI (row 37) for the three alternatives; insert the year where ROI first becomes positive here.</t>
        </r>
      </text>
    </comment>
    <comment ref="D25" authorId="0" shapeId="0" xr:uid="{FAF82DF0-FDC1-4B06-802E-84EC03C26C68}">
      <text>
        <r>
          <rPr>
            <sz val="9"/>
            <color indexed="81"/>
            <rFont val="Tahoma"/>
            <family val="2"/>
          </rPr>
          <t>Look at the ROI (row 37) for the three alternatives; insert the year where ROI first becomes positive here.</t>
        </r>
      </text>
    </comment>
    <comment ref="E25" authorId="0" shapeId="0" xr:uid="{8F70F499-C826-49C5-91D5-58B49D352338}">
      <text>
        <r>
          <rPr>
            <sz val="9"/>
            <color indexed="81"/>
            <rFont val="Tahoma"/>
            <family val="2"/>
          </rPr>
          <t>Look at the ROI (row 37) for the three alternatives; insert the year where ROI first becomes positive here.</t>
        </r>
      </text>
    </comment>
  </commentList>
</comments>
</file>

<file path=xl/sharedStrings.xml><?xml version="1.0" encoding="utf-8"?>
<sst xmlns="http://schemas.openxmlformats.org/spreadsheetml/2006/main" count="526" uniqueCount="443">
  <si>
    <t>Purpose: Designed by engineers during product development.</t>
  </si>
  <si>
    <t>Focus: How the product should be built.</t>
  </si>
  <si>
    <t>Includes: Part numbers, clear descriptions, revisions, reference designators for electronics, and CAD file links.</t>
  </si>
  <si>
    <t>Item No.</t>
  </si>
  <si>
    <t>Part Number</t>
  </si>
  <si>
    <t>Description</t>
  </si>
  <si>
    <t>Revision</t>
  </si>
  <si>
    <t>Quantity</t>
  </si>
  <si>
    <t>Notes</t>
  </si>
  <si>
    <t>Reference Designators</t>
  </si>
  <si>
    <t>CAD File</t>
  </si>
  <si>
    <t>Sequential line number for this EBOM level.</t>
  </si>
  <si>
    <t>Unique identifier for the part or assembly. Use controlled PN from PDM/PLM.</t>
  </si>
  <si>
    <t>Clear, concise noun-first description of the part or assembly.</t>
  </si>
  <si>
    <t>Current engineering revision, such as A, B, C. Matches drawing revision.</t>
  </si>
  <si>
    <t>Qty required per one top-level assembly unit.</t>
  </si>
  <si>
    <t>Engineering intent, materials, alternates, or special instructions.</t>
  </si>
  <si>
    <t>For electrical parts only, such as R1, C5, U1. Leave blank if mechanical.</t>
  </si>
  <si>
    <t>Path or link to native CAD file or drawing.</t>
  </si>
  <si>
    <t>ASM-1000</t>
  </si>
  <si>
    <t>Smart Thermostat, Assembly</t>
  </si>
  <si>
    <t>A</t>
  </si>
  <si>
    <t>Top-level assembly</t>
  </si>
  <si>
    <t>\\Designs\\Thermostat\\thermostat.SLDASM</t>
  </si>
  <si>
    <t>ENC-1101</t>
  </si>
  <si>
    <t>Enclosure, Upper</t>
  </si>
  <si>
    <t>B</t>
  </si>
  <si>
    <t>ABS, texture MT11010</t>
  </si>
  <si>
    <t>\\Designs\\Thermostat\\enclosure_upper.SLDPRT</t>
  </si>
  <si>
    <t>ENC-1102</t>
  </si>
  <si>
    <t>Enclosure, Lower</t>
  </si>
  <si>
    <t>ABS, bosses for M3</t>
  </si>
  <si>
    <t>\\Designs\\Thermostat\\enclosure_lower.SLDPRT</t>
  </si>
  <si>
    <t>DIS-1201</t>
  </si>
  <si>
    <t>Display Module, 2.4 in TFT</t>
  </si>
  <si>
    <t>Supplier P/N TFT-24-IPS</t>
  </si>
  <si>
    <t>DS1</t>
  </si>
  <si>
    <t>\\Vendors\\Displays\\display_module.step</t>
  </si>
  <si>
    <t>PCB-1301</t>
  </si>
  <si>
    <t>PCB Assembly, Control</t>
  </si>
  <si>
    <t>C</t>
  </si>
  <si>
    <t>RoHS, 4-layer, see schematic</t>
  </si>
  <si>
    <t>U1,R1-R10,C1-C10</t>
  </si>
  <si>
    <t>\\ECAD\\Projects\\control_pcba.brd</t>
  </si>
  <si>
    <t xml:space="preserve">Engineering Bill of Materials (EBOM) </t>
  </si>
  <si>
    <t>TOTAL</t>
  </si>
  <si>
    <t>Dashboard Data</t>
  </si>
  <si>
    <t>MONTHLY PERFORMANCE DATA</t>
  </si>
  <si>
    <t>Month</t>
  </si>
  <si>
    <t>Revenue</t>
  </si>
  <si>
    <t>COGS</t>
  </si>
  <si>
    <t>Gross Profit</t>
  </si>
  <si>
    <t>Expenses</t>
  </si>
  <si>
    <t>Net Profit</t>
  </si>
  <si>
    <t>Revenue Target</t>
  </si>
  <si>
    <t>Customers</t>
  </si>
  <si>
    <t>Avg Order Value</t>
  </si>
  <si>
    <t>Jan</t>
  </si>
  <si>
    <t>Feb</t>
  </si>
  <si>
    <t>Mar</t>
  </si>
  <si>
    <t>Apr</t>
  </si>
  <si>
    <t>May</t>
  </si>
  <si>
    <t>Jun</t>
  </si>
  <si>
    <t>Jul</t>
  </si>
  <si>
    <t>Aug</t>
  </si>
  <si>
    <t>Sep</t>
  </si>
  <si>
    <t>Oct</t>
  </si>
  <si>
    <t>Nov</t>
  </si>
  <si>
    <t>Dec</t>
  </si>
  <si>
    <t>EXPENSE BREAKDOWN</t>
  </si>
  <si>
    <t>Category</t>
  </si>
  <si>
    <t>Amount</t>
  </si>
  <si>
    <t>% of Total</t>
  </si>
  <si>
    <t>Salaries &amp; Wages</t>
  </si>
  <si>
    <t>Marketing &amp; Advertising</t>
  </si>
  <si>
    <t>Rent &amp; Facilities</t>
  </si>
  <si>
    <t>Technology &amp; Software</t>
  </si>
  <si>
    <t>Professional Services</t>
  </si>
  <si>
    <t>Travel &amp; Entertainment</t>
  </si>
  <si>
    <t>Other Operating</t>
  </si>
  <si>
    <t>REVENUE BY REGION</t>
  </si>
  <si>
    <t>Region</t>
  </si>
  <si>
    <t>North America</t>
  </si>
  <si>
    <t>Europe</t>
  </si>
  <si>
    <t>Asia Pacific</t>
  </si>
  <si>
    <t>Latin America</t>
  </si>
  <si>
    <t>Cost Benefit Analysis:</t>
  </si>
  <si>
    <t>(Note: Fill out YELLOW fields.)</t>
  </si>
  <si>
    <t xml:space="preserve">                          Period of Analysis =</t>
  </si>
  <si>
    <t>years</t>
  </si>
  <si>
    <t>Do Nothing</t>
  </si>
  <si>
    <t>Alt 1:</t>
  </si>
  <si>
    <t>Alt 2:</t>
  </si>
  <si>
    <t>Alt 3:</t>
  </si>
  <si>
    <t>Project Cost</t>
  </si>
  <si>
    <t>n/a</t>
  </si>
  <si>
    <t>O&amp;M: FTE IT staff</t>
  </si>
  <si>
    <t>O&amp;M: FTE operations staff</t>
  </si>
  <si>
    <t>O&amp;M: Ops Contractors</t>
  </si>
  <si>
    <t>O&amp;M: IT Vendor Svcs.</t>
  </si>
  <si>
    <t>O&amp;M: SW &amp; Licenses</t>
  </si>
  <si>
    <t>O&amp;M: HW</t>
  </si>
  <si>
    <t>O&amp;M: Maintenance</t>
  </si>
  <si>
    <t>O&amp;M: Facilities</t>
  </si>
  <si>
    <t>O&amp;M: Telecomm</t>
  </si>
  <si>
    <t>O&amp;M: Training</t>
  </si>
  <si>
    <t>years of analysis:</t>
  </si>
  <si>
    <t>O&amp;M: Op Contingncy</t>
  </si>
  <si>
    <t>O&amp;M: Misc Ops</t>
  </si>
  <si>
    <t>Total O&amp;M Cost</t>
  </si>
  <si>
    <t>TCO: Project + O&amp;M</t>
  </si>
  <si>
    <t>Cost savings v."Do Nothing"</t>
  </si>
  <si>
    <t>Other benefits v."Do Nothing"</t>
  </si>
  <si>
    <t>Cumulative benefits</t>
  </si>
  <si>
    <t>Cumulative NET benefits</t>
  </si>
  <si>
    <t>ROI: (bene-cost)/cost</t>
  </si>
  <si>
    <t>Breakeven Year:</t>
  </si>
  <si>
    <t>TADBIRGARAN Project</t>
  </si>
  <si>
    <t>Change control log</t>
  </si>
  <si>
    <t>Last updated:</t>
  </si>
  <si>
    <t>Controller:</t>
  </si>
  <si>
    <t xml:space="preserve">Impact </t>
  </si>
  <si>
    <t>ID</t>
  </si>
  <si>
    <t>Priority</t>
  </si>
  <si>
    <t>Time</t>
  </si>
  <si>
    <t>Cost</t>
  </si>
  <si>
    <t>Quality</t>
  </si>
  <si>
    <t>Scope</t>
  </si>
  <si>
    <t>Overall</t>
  </si>
  <si>
    <t>Initiator</t>
  </si>
  <si>
    <t>Status</t>
  </si>
  <si>
    <t>Date</t>
  </si>
  <si>
    <t>C0.00</t>
  </si>
  <si>
    <t>What is the change requested?</t>
  </si>
  <si>
    <t>H/M/L</t>
  </si>
  <si>
    <t>? days</t>
  </si>
  <si>
    <t>?££</t>
  </si>
  <si>
    <t>^ or v</t>
  </si>
  <si>
    <t>Who requested change?</t>
  </si>
  <si>
    <t>Live/Rej/App/Def</t>
  </si>
  <si>
    <t>??/??/??</t>
  </si>
  <si>
    <t>Guidelines for completion</t>
  </si>
  <si>
    <r>
      <t>ID:</t>
    </r>
    <r>
      <rPr>
        <sz val="10"/>
        <rFont val="Arial"/>
        <family val="2"/>
      </rPr>
      <t xml:space="preserve"> each request should have a unique code to identify it for easy reference.</t>
    </r>
  </si>
  <si>
    <r>
      <t>Description:</t>
    </r>
    <r>
      <rPr>
        <sz val="10"/>
        <rFont val="Arial"/>
        <family val="2"/>
      </rPr>
      <t xml:space="preserve"> if the description is lengthy or complicated, you can summarise here and refer to the particular change request document.</t>
    </r>
  </si>
  <si>
    <r>
      <t>Priority:</t>
    </r>
    <r>
      <rPr>
        <sz val="10"/>
        <rFont val="Arial"/>
        <family val="2"/>
      </rPr>
      <t xml:space="preserve"> how important is the change listed? High priority should only be used for changes without which the project cannot be a success, medium describes desirable changes, low describes trivial changes. Depending on the complexity of your project, you may wish to add more categories, such as having an "E" for essential".</t>
    </r>
  </si>
  <si>
    <r>
      <t xml:space="preserve">Impact: </t>
    </r>
    <r>
      <rPr>
        <sz val="10"/>
        <rFont val="Arial"/>
        <family val="2"/>
      </rPr>
      <t>assess the probable impact of each change on the project definition and record your findings here. You may have to consult with others to assess how the change would affect them. When calculating the probable impact, remember to look at how any additional time, cost etc will affect the critical path of the project - you need to account for the impact overall.</t>
    </r>
  </si>
  <si>
    <r>
      <t>Initiator:</t>
    </r>
    <r>
      <rPr>
        <sz val="10"/>
        <rFont val="Arial"/>
        <family val="2"/>
      </rPr>
      <t xml:space="preserve"> record who requested the change.</t>
    </r>
  </si>
  <si>
    <r>
      <t>Status:</t>
    </r>
    <r>
      <rPr>
        <sz val="10"/>
        <rFont val="Arial"/>
        <family val="2"/>
      </rPr>
      <t xml:space="preserve"> record whether the change is live, accepted, rejected or deferred.</t>
    </r>
  </si>
  <si>
    <r>
      <t>Date:</t>
    </r>
    <r>
      <rPr>
        <sz val="10"/>
        <rFont val="Arial"/>
        <family val="2"/>
      </rPr>
      <t xml:space="preserve"> date of last update to the change control decision.</t>
    </r>
  </si>
  <si>
    <t>ENGINEERING CHANGE NOTICE (ENGINEERING CHANGE REQUEST)</t>
  </si>
  <si>
    <t>Supplier :</t>
  </si>
  <si>
    <t>ECN Number:</t>
  </si>
  <si>
    <t>Supplier Code:</t>
  </si>
  <si>
    <t>Initiated by:</t>
  </si>
  <si>
    <t>Approved</t>
  </si>
  <si>
    <t>Manufacturing Location:</t>
  </si>
  <si>
    <t>Reviewed by:</t>
  </si>
  <si>
    <t>Rejected</t>
  </si>
  <si>
    <t>Date of Request:</t>
  </si>
  <si>
    <t>Effective Date:</t>
  </si>
  <si>
    <t>#</t>
  </si>
  <si>
    <t>Description of Request:</t>
  </si>
  <si>
    <t xml:space="preserve">Part Number / Process id </t>
  </si>
  <si>
    <t>Proposed Change - identify any affect on interfacing components/systems</t>
  </si>
  <si>
    <t>Reason for the request</t>
  </si>
  <si>
    <t>Disposition of Current Stock</t>
  </si>
  <si>
    <t>Exhaust Stock:</t>
  </si>
  <si>
    <t>Scrap:</t>
  </si>
  <si>
    <t>Other (specify):</t>
  </si>
  <si>
    <t>Product/Process Validation Plan:</t>
  </si>
  <si>
    <t>Quality Assurance Manager</t>
  </si>
  <si>
    <t>Engineering Manager</t>
  </si>
  <si>
    <t>Manufacturing Manager</t>
  </si>
  <si>
    <t>Note: if making changes to the drawing, attach a marked up print - clearly identify the changes; also include an interface/boundary diagram</t>
  </si>
  <si>
    <t>Plant Manager</t>
  </si>
  <si>
    <t>compliments of: thequalityportal.com</t>
  </si>
  <si>
    <t>Document Control</t>
  </si>
  <si>
    <t>Document Information</t>
  </si>
  <si>
    <t>©</t>
  </si>
  <si>
    <t>Information</t>
  </si>
  <si>
    <t>Document Id</t>
  </si>
  <si>
    <t>[Document Management System #]</t>
  </si>
  <si>
    <t>Document Owner</t>
  </si>
  <si>
    <t>[Owner Name]</t>
  </si>
  <si>
    <t>Issue Date</t>
  </si>
  <si>
    <t>[Date]</t>
  </si>
  <si>
    <t>Last Saved Date</t>
  </si>
  <si>
    <t>File Name</t>
  </si>
  <si>
    <t>[Name]</t>
  </si>
  <si>
    <t>Document History</t>
  </si>
  <si>
    <t>Version</t>
  </si>
  <si>
    <t>Changes</t>
  </si>
  <si>
    <t>[1.0]</t>
  </si>
  <si>
    <t>[Section, Page(s) and Text Revised]</t>
  </si>
  <si>
    <t>Document Approvals</t>
  </si>
  <si>
    <t>Role</t>
  </si>
  <si>
    <t>Name</t>
  </si>
  <si>
    <r>
      <t>Signature</t>
    </r>
    <r>
      <rPr>
        <b/>
        <sz val="1"/>
        <color rgb="FF313896"/>
        <rFont val="Arial"/>
        <family val="2"/>
      </rPr>
      <t>©</t>
    </r>
  </si>
  <si>
    <t>Project Sponsor</t>
  </si>
  <si>
    <t>Project Review Group</t>
  </si>
  <si>
    <t>Project Manager</t>
  </si>
  <si>
    <t>Quality Manager</t>
  </si>
  <si>
    <t>(if applicable)</t>
  </si>
  <si>
    <t>Procurement Manager</t>
  </si>
  <si>
    <t>Communications Manager</t>
  </si>
  <si>
    <t>Project Office Manager</t>
  </si>
  <si>
    <t xml:space="preserve"> Type</t>
  </si>
  <si>
    <t>Date               Work Begins</t>
  </si>
  <si>
    <t>Assigned</t>
  </si>
  <si>
    <t xml:space="preserve">Expected    Resolution </t>
  </si>
  <si>
    <t>Action</t>
  </si>
  <si>
    <t>Impact</t>
  </si>
  <si>
    <t>Product</t>
  </si>
  <si>
    <t>Not responding to on/off</t>
  </si>
  <si>
    <t>Open</t>
  </si>
  <si>
    <t>Critical</t>
  </si>
  <si>
    <t>Paul P.</t>
  </si>
  <si>
    <t>One week</t>
  </si>
  <si>
    <t>Troubleshoot and impliment solution</t>
  </si>
  <si>
    <t>Color should be green</t>
  </si>
  <si>
    <t>Work in Progress</t>
  </si>
  <si>
    <t>Jamie C.</t>
  </si>
  <si>
    <t>Add new color to production</t>
  </si>
  <si>
    <t>Schedule</t>
  </si>
  <si>
    <t xml:space="preserve">Add volume dial </t>
  </si>
  <si>
    <t>Closed</t>
  </si>
  <si>
    <t>High</t>
  </si>
  <si>
    <t>Loretta J.</t>
  </si>
  <si>
    <t>Design, implement and test</t>
  </si>
  <si>
    <t>Team</t>
  </si>
  <si>
    <t>Replace sick dev team member</t>
  </si>
  <si>
    <t>7/13/2019</t>
  </si>
  <si>
    <t>Late</t>
  </si>
  <si>
    <t>Medium</t>
  </si>
  <si>
    <t>Kate F.</t>
  </si>
  <si>
    <t>Three days</t>
  </si>
  <si>
    <t>Call HR</t>
  </si>
  <si>
    <t>Resources</t>
  </si>
  <si>
    <t>Other</t>
  </si>
  <si>
    <t xml:space="preserve">Shift resources for vacation </t>
  </si>
  <si>
    <t>7/14/2019</t>
  </si>
  <si>
    <t>Combined</t>
  </si>
  <si>
    <t>Low</t>
  </si>
  <si>
    <t>Juliet M.</t>
  </si>
  <si>
    <t>Two weeks</t>
  </si>
  <si>
    <t xml:space="preserve">Project Name: </t>
  </si>
  <si>
    <t>Risk Matrix</t>
  </si>
  <si>
    <t>Severity</t>
  </si>
  <si>
    <t>Insignificant</t>
  </si>
  <si>
    <t>Minor</t>
  </si>
  <si>
    <t>Moderate</t>
  </si>
  <si>
    <t>Major</t>
  </si>
  <si>
    <t>Severe+K10:P21</t>
  </si>
  <si>
    <t>Likelihood</t>
  </si>
  <si>
    <t>Almost Certain</t>
  </si>
  <si>
    <t>Very High</t>
  </si>
  <si>
    <t>Likely</t>
  </si>
  <si>
    <t>Possible</t>
  </si>
  <si>
    <t>Unlikelyh</t>
  </si>
  <si>
    <t>Rare</t>
  </si>
  <si>
    <t>Likelihood: Chance of risk</t>
  </si>
  <si>
    <t>Rare: Slim possibility of happening</t>
  </si>
  <si>
    <t>Unlikely: Could occur but remote</t>
  </si>
  <si>
    <t>Possible: Might happen</t>
  </si>
  <si>
    <t>Likely: Expected to occur</t>
  </si>
  <si>
    <t>Almost Certain: Expected regularly</t>
  </si>
  <si>
    <t>Severity: Impact on project</t>
  </si>
  <si>
    <t>Insignificant: Not worth worry about</t>
  </si>
  <si>
    <t>Minor: Can cause delays or added costs</t>
  </si>
  <si>
    <t>Moderate: Likely delays or costs</t>
  </si>
  <si>
    <t>Major: Possible failure</t>
  </si>
  <si>
    <t>Severe: Definite failure</t>
  </si>
  <si>
    <t>Risk Level: Setting Priority</t>
  </si>
  <si>
    <t>Low: Not much risk</t>
  </si>
  <si>
    <t>Medium: Some risk</t>
  </si>
  <si>
    <t>High: Major risk</t>
  </si>
  <si>
    <t>Very High: Extreme risk</t>
  </si>
  <si>
    <t>UoM</t>
  </si>
  <si>
    <t>Work Center</t>
  </si>
  <si>
    <t>Lead Time</t>
  </si>
  <si>
    <t>Supplier</t>
  </si>
  <si>
    <t>RM-2001</t>
  </si>
  <si>
    <t>Aluminum Sheet</t>
  </si>
  <si>
    <t>kg</t>
  </si>
  <si>
    <t>CNC Milling</t>
  </si>
  <si>
    <t>5 days</t>
  </si>
  <si>
    <t>AluSupply Co.</t>
  </si>
  <si>
    <t>RM-2002</t>
  </si>
  <si>
    <t>PCB Blank 4-layer</t>
  </si>
  <si>
    <t>pcs</t>
  </si>
  <si>
    <t>SMT Line</t>
  </si>
  <si>
    <t>7 days</t>
  </si>
  <si>
    <t>PCB World</t>
  </si>
  <si>
    <t>SUB-2101</t>
  </si>
  <si>
    <t>Subassembly: Display Module</t>
  </si>
  <si>
    <t>Assembly Line</t>
  </si>
  <si>
    <t>3 days</t>
  </si>
  <si>
    <t>VendorX</t>
  </si>
  <si>
    <t>CON-2201</t>
  </si>
  <si>
    <t>Packaging Box, Small</t>
  </si>
  <si>
    <t>Packing</t>
  </si>
  <si>
    <t>2 days</t>
  </si>
  <si>
    <t>PackIt</t>
  </si>
  <si>
    <t>TOOL-2301</t>
  </si>
  <si>
    <t>Soldering Paste, Type A</t>
  </si>
  <si>
    <t>g</t>
  </si>
  <si>
    <t>ChemCo</t>
  </si>
  <si>
    <t xml:space="preserve">Manufacturing Bill of Materials (MBOM) </t>
  </si>
  <si>
    <t>Purpose: Used by manufacturing to actually build the product.</t>
  </si>
  <si>
    <t>Focus: Includes raw materials, subassemblies, processes, and packaging.</t>
  </si>
  <si>
    <t>Includes: Work centers, routing steps, consumables, tooling.</t>
  </si>
  <si>
    <t>LAST UPDATE ON</t>
  </si>
  <si>
    <t>Content of the file</t>
  </si>
  <si>
    <t>Worksheet</t>
  </si>
  <si>
    <t>Column title</t>
  </si>
  <si>
    <t>Content description</t>
  </si>
  <si>
    <r>
      <rPr>
        <b/>
        <sz val="16"/>
        <color theme="1"/>
        <rFont val="Calibri"/>
        <family val="2"/>
        <charset val="238"/>
        <scheme val="minor"/>
      </rPr>
      <t>Validations</t>
    </r>
    <r>
      <rPr>
        <b/>
        <sz val="11"/>
        <color theme="1"/>
        <rFont val="Calibri"/>
        <family val="2"/>
        <scheme val="minor"/>
      </rPr>
      <t xml:space="preserve"> 
</t>
    </r>
    <r>
      <rPr>
        <sz val="11"/>
        <color theme="1"/>
        <rFont val="Calibri"/>
        <family val="2"/>
        <charset val="238"/>
        <scheme val="minor"/>
      </rPr>
      <t>List of validations</t>
    </r>
  </si>
  <si>
    <t>Validation ID</t>
  </si>
  <si>
    <r>
      <t xml:space="preserve">Unique code of a validation. Prefixes according to:
- </t>
    </r>
    <r>
      <rPr>
        <b/>
        <sz val="11"/>
        <color theme="1"/>
        <rFont val="Calibri"/>
        <family val="2"/>
        <charset val="238"/>
        <scheme val="minor"/>
      </rPr>
      <t>BV</t>
    </r>
    <r>
      <rPr>
        <sz val="11"/>
        <color theme="1"/>
        <rFont val="Calibri"/>
        <family val="2"/>
        <scheme val="minor"/>
      </rPr>
      <t xml:space="preserve"> for business validations defined by EIOPA
- </t>
    </r>
    <r>
      <rPr>
        <b/>
        <sz val="11"/>
        <color theme="1"/>
        <rFont val="Calibri"/>
        <family val="2"/>
        <charset val="238"/>
        <scheme val="minor"/>
      </rPr>
      <t>TV</t>
    </r>
    <r>
      <rPr>
        <sz val="11"/>
        <color theme="1"/>
        <rFont val="Calibri"/>
        <family val="2"/>
        <scheme val="minor"/>
      </rPr>
      <t xml:space="preserve"> for technical validations
- </t>
    </r>
    <r>
      <rPr>
        <b/>
        <sz val="11"/>
        <color theme="1"/>
        <rFont val="Calibri"/>
        <family val="2"/>
        <charset val="238"/>
        <scheme val="minor"/>
      </rPr>
      <t>EV</t>
    </r>
    <r>
      <rPr>
        <sz val="11"/>
        <color theme="1"/>
        <rFont val="Calibri"/>
        <family val="2"/>
        <scheme val="minor"/>
      </rPr>
      <t xml:space="preserve"> for ECB specific validations</t>
    </r>
  </si>
  <si>
    <t>Release</t>
  </si>
  <si>
    <t>Realese, for which the validation was defined for the first time</t>
  </si>
  <si>
    <t>Template 1</t>
  </si>
  <si>
    <t>First business template that the validation relates. ECB add-on templates, for which Solvency II validations shall apply, are not named explicitly in “Template” column of “Business Validation” worksheet to avoid redundancies during validation definition phase. Nevertheless those validation are created based on information provided in “Applicable entry points” column and delivered in “XBRL Tax Assertion” worksheet if this is the case.</t>
  </si>
  <si>
    <t>Template 2</t>
  </si>
  <si>
    <t>Second business template that the validation relates (optional)</t>
  </si>
  <si>
    <t>Template 3</t>
  </si>
  <si>
    <t>Third business template that the validation relates (optional)</t>
  </si>
  <si>
    <t>Template 4</t>
  </si>
  <si>
    <t>Fourth business template that the validation relates (optional)</t>
  </si>
  <si>
    <t>Template 5</t>
  </si>
  <si>
    <t>Fifth business template that the validation relates (optional)</t>
  </si>
  <si>
    <t>Template 6</t>
  </si>
  <si>
    <t>Sixth business template that the validation relates (optional)</t>
  </si>
  <si>
    <t>Rows</t>
  </si>
  <si>
    <t>Rows to which validation is applicable. More than one row can be referenced by a single validation (i.e.r0010;0020;0030). Column is empty when more than one business template are referenced. In such a case rows can be identified for each template separately in column "Validation"</t>
  </si>
  <si>
    <t>Columns</t>
  </si>
  <si>
    <t>Columns to which validation is applicable. More than one column can be referenced by a single validation (i.e. c0310;c0350;c0360). Column is empty when more than one business template are referenced. In such a case rows can be identified for each template separately in column "Validation"</t>
  </si>
  <si>
    <t>Filter</t>
  </si>
  <si>
    <t>Filter determines rows in open tables for which aggregation in formula expression is calculated</t>
  </si>
  <si>
    <t>Validation</t>
  </si>
  <si>
    <t>Validation defined by business experts</t>
  </si>
  <si>
    <t>Error message</t>
  </si>
  <si>
    <t>Error message defined by business experts</t>
  </si>
  <si>
    <t>Enriched static error message</t>
  </si>
  <si>
    <t>Error message defined by business experts enriched with information about validation ID, references to data points location in business templates and validation itself</t>
  </si>
  <si>
    <t>Applicable entry points</t>
  </si>
  <si>
    <t>Identifies entry points for which validation is defined (i.e. 01;04;07)</t>
  </si>
  <si>
    <t>ITS (Implementing Technical Standard)</t>
  </si>
  <si>
    <t>Indicates entry points of regular ITS Solvency II that the validation applies.</t>
  </si>
  <si>
    <t>FS (Financial Stability)</t>
  </si>
  <si>
    <t>Indicates entry points of Financial Stability package that the validation applies.</t>
  </si>
  <si>
    <t>3CB (Third Country Branches)</t>
  </si>
  <si>
    <t>Indicates entry points of Third Country Branches (3CB) package that the validation applies.</t>
  </si>
  <si>
    <t>ECB (European Central Bank)</t>
  </si>
  <si>
    <t>Indicates entry points of ECB Add-on package that the validation applies.</t>
  </si>
  <si>
    <t>Amended on</t>
  </si>
  <si>
    <t xml:space="preserve">Identifies validations that were amended. </t>
  </si>
  <si>
    <t>Deactivated on</t>
  </si>
  <si>
    <t xml:space="preserve">Identifies validations which should be disregarded (primarily due to being identified as potentially incorrect for all cases).  In case no date is provided a rule is considered active and always need to be fulfilled, otherwise it is deactivated on the indicated date. Please note that deactivation maybe partial as described in the next field. </t>
  </si>
  <si>
    <t>Reason for deactivation</t>
  </si>
  <si>
    <r>
      <t xml:space="preserve">Identifies the reason for which validation is deactivated:
- </t>
    </r>
    <r>
      <rPr>
        <b/>
        <sz val="11"/>
        <color theme="1"/>
        <rFont val="Calibri"/>
        <family val="2"/>
        <charset val="238"/>
        <scheme val="minor"/>
      </rPr>
      <t xml:space="preserve">Business </t>
    </r>
    <r>
      <rPr>
        <sz val="11"/>
        <color theme="1"/>
        <rFont val="Calibri"/>
        <family val="2"/>
        <charset val="238"/>
        <scheme val="minor"/>
      </rPr>
      <t xml:space="preserve">if it was due to business reasons
- </t>
    </r>
    <r>
      <rPr>
        <b/>
        <sz val="11"/>
        <color theme="1"/>
        <rFont val="Calibri"/>
        <family val="2"/>
        <charset val="238"/>
        <scheme val="minor"/>
      </rPr>
      <t>Technical</t>
    </r>
    <r>
      <rPr>
        <sz val="11"/>
        <color theme="1"/>
        <rFont val="Calibri"/>
        <family val="2"/>
        <scheme val="minor"/>
      </rPr>
      <t xml:space="preserve"> if the reason was technical
- </t>
    </r>
    <r>
      <rPr>
        <b/>
        <sz val="11"/>
        <color theme="1"/>
        <rFont val="Calibri"/>
        <family val="2"/>
        <charset val="238"/>
        <scheme val="minor"/>
      </rPr>
      <t>Business/Technical</t>
    </r>
    <r>
      <rPr>
        <sz val="11"/>
        <color theme="1"/>
        <rFont val="Calibri"/>
        <family val="2"/>
        <scheme val="minor"/>
      </rPr>
      <t xml:space="preserve"> if it was due to both: business and technical reasons</t>
    </r>
  </si>
  <si>
    <t>Comments to amendment or deactivation</t>
  </si>
  <si>
    <t>Describes for example the rationale behind amendment or partial deactivation of validation</t>
  </si>
  <si>
    <t>Full or partial deactivation</t>
  </si>
  <si>
    <r>
      <t xml:space="preserve">There can be two types of deactivations:
- </t>
    </r>
    <r>
      <rPr>
        <b/>
        <sz val="11"/>
        <color theme="1"/>
        <rFont val="Calibri"/>
        <family val="2"/>
        <charset val="238"/>
        <scheme val="minor"/>
      </rPr>
      <t>Full</t>
    </r>
    <r>
      <rPr>
        <sz val="11"/>
        <color theme="1"/>
        <rFont val="Calibri"/>
        <family val="2"/>
        <scheme val="minor"/>
      </rPr>
      <t xml:space="preserve"> when all related technical validations are deactivated together with underlying business validation
- </t>
    </r>
    <r>
      <rPr>
        <b/>
        <sz val="11"/>
        <color theme="1"/>
        <rFont val="Calibri"/>
        <family val="2"/>
        <charset val="238"/>
        <scheme val="minor"/>
      </rPr>
      <t>Partial</t>
    </r>
    <r>
      <rPr>
        <sz val="11"/>
        <color theme="1"/>
        <rFont val="Calibri"/>
        <family val="2"/>
        <scheme val="minor"/>
      </rPr>
      <t xml:space="preserve"> when only part of technical validations corresponding to given underlying business validation must be deactivated </t>
    </r>
  </si>
  <si>
    <t>Temporary or permanent deactivation</t>
  </si>
  <si>
    <r>
      <t xml:space="preserve">- </t>
    </r>
    <r>
      <rPr>
        <b/>
        <sz val="11"/>
        <color theme="1"/>
        <rFont val="Calibri"/>
        <family val="2"/>
        <charset val="238"/>
        <scheme val="minor"/>
      </rPr>
      <t>Temporary</t>
    </r>
    <r>
      <rPr>
        <sz val="11"/>
        <color theme="1"/>
        <rFont val="Calibri"/>
        <family val="2"/>
        <scheme val="minor"/>
      </rPr>
      <t xml:space="preserve"> deactivation is made when an amendment of the validation is planned to be made in the future. After the amendment the validation will be activated again.
- </t>
    </r>
    <r>
      <rPr>
        <b/>
        <sz val="11"/>
        <color theme="1"/>
        <rFont val="Calibri"/>
        <family val="2"/>
        <charset val="238"/>
        <scheme val="minor"/>
      </rPr>
      <t>Permanent</t>
    </r>
    <r>
      <rPr>
        <sz val="11"/>
        <color theme="1"/>
        <rFont val="Calibri"/>
        <family val="2"/>
        <scheme val="minor"/>
      </rPr>
      <t xml:space="preserve"> deactivation correspond with the situation that a validations is not any longer needed and the validation will not be amended/activated again.</t>
    </r>
  </si>
  <si>
    <t>Validation Type</t>
  </si>
  <si>
    <r>
      <t xml:space="preserve">Identifies the business validations type according: 
</t>
    </r>
    <r>
      <rPr>
        <b/>
        <sz val="11"/>
        <color theme="1"/>
        <rFont val="Calibri"/>
        <family val="2"/>
        <scheme val="minor"/>
      </rPr>
      <t xml:space="preserve">- </t>
    </r>
    <r>
      <rPr>
        <b/>
        <sz val="11"/>
        <color theme="1"/>
        <rFont val="Calibri"/>
        <family val="2"/>
        <charset val="238"/>
        <scheme val="minor"/>
      </rPr>
      <t>Business Validation</t>
    </r>
    <r>
      <rPr>
        <sz val="11"/>
        <color theme="1"/>
        <rFont val="Calibri"/>
        <family val="2"/>
        <scheme val="minor"/>
      </rPr>
      <t xml:space="preserve"> for business validations defined by EIOPA
</t>
    </r>
    <r>
      <rPr>
        <b/>
        <sz val="11"/>
        <color theme="1"/>
        <rFont val="Calibri"/>
        <family val="2"/>
        <scheme val="minor"/>
      </rPr>
      <t xml:space="preserve">- </t>
    </r>
    <r>
      <rPr>
        <b/>
        <sz val="11"/>
        <color theme="1"/>
        <rFont val="Calibri"/>
        <family val="2"/>
        <charset val="238"/>
        <scheme val="minor"/>
      </rPr>
      <t>Technical Validation</t>
    </r>
    <r>
      <rPr>
        <sz val="11"/>
        <color theme="1"/>
        <rFont val="Calibri"/>
        <family val="2"/>
        <scheme val="minor"/>
      </rPr>
      <t xml:space="preserve"> for technical validations
</t>
    </r>
    <r>
      <rPr>
        <b/>
        <sz val="11"/>
        <color theme="1"/>
        <rFont val="Calibri"/>
        <family val="2"/>
        <scheme val="minor"/>
      </rPr>
      <t xml:space="preserve">- </t>
    </r>
    <r>
      <rPr>
        <b/>
        <sz val="11"/>
        <color theme="1"/>
        <rFont val="Calibri"/>
        <family val="2"/>
        <charset val="238"/>
        <scheme val="minor"/>
      </rPr>
      <t>ECB Exclusively Validation</t>
    </r>
    <r>
      <rPr>
        <sz val="11"/>
        <color theme="1"/>
        <rFont val="Calibri"/>
        <family val="2"/>
        <scheme val="minor"/>
      </rPr>
      <t xml:space="preserve"> for ECB specific validations. Note that some regular business validations are also applied to the ECB package, however still having the BV prefix.
</t>
    </r>
  </si>
  <si>
    <t>Validation scope</t>
  </si>
  <si>
    <r>
      <t xml:space="preserve">Divides validations into two types: 
- </t>
    </r>
    <r>
      <rPr>
        <b/>
        <sz val="11"/>
        <color theme="1"/>
        <rFont val="Calibri"/>
        <family val="2"/>
        <charset val="238"/>
        <scheme val="minor"/>
      </rPr>
      <t xml:space="preserve">Intra-template validation (IT) </t>
    </r>
    <r>
      <rPr>
        <sz val="11"/>
        <color theme="1"/>
        <rFont val="Calibri"/>
        <family val="2"/>
        <charset val="238"/>
        <scheme val="minor"/>
      </rPr>
      <t xml:space="preserve">when </t>
    </r>
    <r>
      <rPr>
        <sz val="11"/>
        <color theme="1"/>
        <rFont val="Calibri"/>
        <family val="2"/>
        <scheme val="minor"/>
      </rPr>
      <t xml:space="preserve">validations applies only to one template
- </t>
    </r>
    <r>
      <rPr>
        <b/>
        <sz val="11"/>
        <color theme="1"/>
        <rFont val="Calibri"/>
        <family val="2"/>
        <charset val="238"/>
        <scheme val="minor"/>
      </rPr>
      <t>Cross-template validation (CT)</t>
    </r>
    <r>
      <rPr>
        <sz val="11"/>
        <color theme="1"/>
        <rFont val="Calibri"/>
        <family val="2"/>
        <scheme val="minor"/>
      </rPr>
      <t xml:space="preserve"> when the validation takes into account data from more than one template</t>
    </r>
  </si>
  <si>
    <t>Check type</t>
  </si>
  <si>
    <r>
      <t xml:space="preserve">Identifies for business validations if it is:
</t>
    </r>
    <r>
      <rPr>
        <b/>
        <sz val="11"/>
        <color theme="1"/>
        <rFont val="Calibri"/>
        <family val="2"/>
        <scheme val="minor"/>
      </rPr>
      <t>- Data type check (Data):</t>
    </r>
    <r>
      <rPr>
        <sz val="11"/>
        <color theme="1"/>
        <rFont val="Calibri"/>
        <family val="2"/>
        <scheme val="minor"/>
      </rPr>
      <t xml:space="preserve"> Data type checks are not usually reflected in XBRL Tax assertions as those constrains are covered by other features of XBRL taxonomy (i.e. data type of metric).
</t>
    </r>
    <r>
      <rPr>
        <b/>
        <sz val="11"/>
        <color theme="1"/>
        <rFont val="Calibri"/>
        <family val="2"/>
        <scheme val="minor"/>
      </rPr>
      <t xml:space="preserve">- Completeness check (Complt): </t>
    </r>
    <r>
      <rPr>
        <sz val="11"/>
        <color theme="1"/>
        <rFont val="Calibri"/>
        <family val="2"/>
        <scheme val="minor"/>
      </rPr>
      <t xml:space="preserve">Completeness check verifies data points that must be reported (can't be empty).
</t>
    </r>
    <r>
      <rPr>
        <b/>
        <sz val="11"/>
        <color theme="1"/>
        <rFont val="Calibri"/>
        <family val="2"/>
        <scheme val="minor"/>
      </rPr>
      <t>- Equivalence check (Eqv):</t>
    </r>
    <r>
      <rPr>
        <sz val="11"/>
        <color theme="1"/>
        <rFont val="Calibri"/>
        <family val="2"/>
        <scheme val="minor"/>
      </rPr>
      <t xml:space="preserve"> Equivalence check verifies data points that must be always equal in value.
</t>
    </r>
    <r>
      <rPr>
        <b/>
        <sz val="11"/>
        <color theme="1"/>
        <rFont val="Calibri"/>
        <family val="2"/>
        <scheme val="minor"/>
      </rPr>
      <t>- Other expression (Exp):</t>
    </r>
    <r>
      <rPr>
        <sz val="11"/>
        <color theme="1"/>
        <rFont val="Calibri"/>
        <family val="2"/>
        <scheme val="minor"/>
      </rPr>
      <t xml:space="preserve"> any check which does not belong to any of the other categories</t>
    </r>
  </si>
  <si>
    <t>XBRL implementation</t>
  </si>
  <si>
    <r>
      <t xml:space="preserve">There are three potential types of validations depending if it is implemented in XBRL
- validations implemented using XBRL assertions </t>
    </r>
    <r>
      <rPr>
        <b/>
        <sz val="11"/>
        <color theme="1"/>
        <rFont val="Calibri"/>
        <family val="2"/>
        <charset val="238"/>
        <scheme val="minor"/>
      </rPr>
      <t>(Yes - assertions)</t>
    </r>
    <r>
      <rPr>
        <sz val="11"/>
        <color theme="1"/>
        <rFont val="Calibri"/>
        <family val="2"/>
        <charset val="238"/>
        <scheme val="minor"/>
      </rPr>
      <t xml:space="preserve">
- validations implemented using other features of XBRL </t>
    </r>
    <r>
      <rPr>
        <b/>
        <sz val="11"/>
        <color theme="1"/>
        <rFont val="Calibri"/>
        <family val="2"/>
        <charset val="238"/>
        <scheme val="minor"/>
      </rPr>
      <t>(Yes - other features)</t>
    </r>
    <r>
      <rPr>
        <sz val="11"/>
        <color theme="1"/>
        <rFont val="Calibri"/>
        <family val="2"/>
        <charset val="238"/>
        <scheme val="minor"/>
      </rPr>
      <t>, for example XBRL datatype</t>
    </r>
    <r>
      <rPr>
        <sz val="11"/>
        <color theme="1"/>
        <rFont val="Calibri"/>
        <family val="2"/>
        <scheme val="minor"/>
      </rPr>
      <t xml:space="preserve">
- validations that need to be implemented using other solutions </t>
    </r>
    <r>
      <rPr>
        <b/>
        <sz val="11"/>
        <color theme="1"/>
        <rFont val="Calibri"/>
        <family val="2"/>
        <charset val="238"/>
        <scheme val="minor"/>
      </rPr>
      <t>(No)</t>
    </r>
    <r>
      <rPr>
        <sz val="11"/>
        <color theme="1"/>
        <rFont val="Calibri"/>
        <family val="2"/>
        <scheme val="minor"/>
      </rPr>
      <t xml:space="preserve"> - means that filer needs to ensure that validation is met
- validations that for some cases are implemented using XBRL assertions but for other cases of the validations are not implemented (for example for some entry points), solutions must be used by filers to ensure that validation is met </t>
    </r>
    <r>
      <rPr>
        <b/>
        <sz val="11"/>
        <color theme="1"/>
        <rFont val="Calibri"/>
        <family val="2"/>
        <charset val="238"/>
        <scheme val="minor"/>
      </rPr>
      <t>(Partially No)</t>
    </r>
    <r>
      <rPr>
        <sz val="11"/>
        <color theme="1"/>
        <rFont val="Calibri"/>
        <family val="2"/>
        <scheme val="minor"/>
      </rPr>
      <t xml:space="preserve">. </t>
    </r>
  </si>
  <si>
    <r>
      <rPr>
        <b/>
        <sz val="11"/>
        <color theme="1"/>
        <rFont val="Calibri"/>
        <family val="2"/>
        <scheme val="minor"/>
      </rPr>
      <t>Till now EIOPA's only establish blocking validations, however system may need to be prepared in the future for non-blocking validations.</t>
    </r>
    <r>
      <rPr>
        <sz val="11"/>
        <color theme="1"/>
        <rFont val="Calibri"/>
        <family val="2"/>
        <scheme val="minor"/>
      </rPr>
      <t xml:space="preserve"> Identifies for business validations if it is:
- </t>
    </r>
    <r>
      <rPr>
        <b/>
        <sz val="11"/>
        <color theme="1"/>
        <rFont val="Calibri"/>
        <family val="2"/>
        <charset val="238"/>
        <scheme val="minor"/>
      </rPr>
      <t>Blocking</t>
    </r>
    <r>
      <rPr>
        <sz val="11"/>
        <color theme="1"/>
        <rFont val="Calibri"/>
        <family val="2"/>
        <scheme val="minor"/>
      </rPr>
      <t xml:space="preserve"> for validations that must be executed without errors to be able to submit the report successfully
- </t>
    </r>
    <r>
      <rPr>
        <b/>
        <sz val="11"/>
        <color theme="1"/>
        <rFont val="Calibri"/>
        <family val="2"/>
        <charset val="238"/>
        <scheme val="minor"/>
      </rPr>
      <t>Non-blocking</t>
    </r>
    <r>
      <rPr>
        <sz val="11"/>
        <color theme="1"/>
        <rFont val="Calibri"/>
        <family val="2"/>
        <scheme val="minor"/>
      </rPr>
      <t xml:space="preserve"> for warnings, which may indicate to filers </t>
    </r>
    <r>
      <rPr>
        <u/>
        <sz val="11"/>
        <color theme="1"/>
        <rFont val="Calibri"/>
        <family val="2"/>
        <scheme val="minor"/>
      </rPr>
      <t>potential</t>
    </r>
    <r>
      <rPr>
        <sz val="11"/>
        <color theme="1"/>
        <rFont val="Calibri"/>
        <family val="2"/>
        <scheme val="minor"/>
      </rPr>
      <t xml:space="preserve"> errors.</t>
    </r>
  </si>
  <si>
    <t>Date of last change to the severity</t>
  </si>
  <si>
    <t>Severity of a business validation can change. The field provides information about the date when it happen.</t>
  </si>
  <si>
    <t>Comment to the last change of severity</t>
  </si>
  <si>
    <t>Provides rationale behind the last change to the severity of a business validation.</t>
  </si>
  <si>
    <r>
      <rPr>
        <b/>
        <sz val="16"/>
        <color theme="1"/>
        <rFont val="Calibri"/>
        <family val="2"/>
        <charset val="238"/>
        <scheme val="minor"/>
      </rPr>
      <t>XBRL Tax Assertions</t>
    </r>
    <r>
      <rPr>
        <b/>
        <sz val="11"/>
        <color theme="1"/>
        <rFont val="Calibri"/>
        <family val="2"/>
        <scheme val="minor"/>
      </rPr>
      <t xml:space="preserve">
</t>
    </r>
    <r>
      <rPr>
        <sz val="11"/>
        <color theme="1"/>
        <rFont val="Calibri"/>
        <family val="2"/>
        <scheme val="minor"/>
      </rPr>
      <t>List of assertions implemented to fulfil the Validations.</t>
    </r>
  </si>
  <si>
    <t>Ref #</t>
  </si>
  <si>
    <t>Reference to the validation ID</t>
  </si>
  <si>
    <t>Taxonomy validation file name base</t>
  </si>
  <si>
    <t>Taxonomy validation file name base (without extension).</t>
  </si>
  <si>
    <t>Taxonomy assertion ID</t>
  </si>
  <si>
    <t>Value of @id attriute on the assertion resource in the linkbase file.</t>
  </si>
  <si>
    <t>Table 1</t>
  </si>
  <si>
    <t xml:space="preserve">First technical table that the validation relates. </t>
  </si>
  <si>
    <t>Table 2</t>
  </si>
  <si>
    <t xml:space="preserve">Second technical table that the validation relates (optional). </t>
  </si>
  <si>
    <t>Table 3</t>
  </si>
  <si>
    <t xml:space="preserve">Third technical table that the validation relates (optional). </t>
  </si>
  <si>
    <t>Table 4</t>
  </si>
  <si>
    <t xml:space="preserve">Fourth technical table that the validation relates (optional). </t>
  </si>
  <si>
    <t>Table 5</t>
  </si>
  <si>
    <t xml:space="preserve">Fifth technical table that the validation relates (optional). </t>
  </si>
  <si>
    <t>Table 6</t>
  </si>
  <si>
    <t xml:space="preserve">Sixth technical table that the validation relates (optional). </t>
  </si>
  <si>
    <t>Taxonomy file</t>
  </si>
  <si>
    <t>XBRL taxonomy file containing the assertion</t>
  </si>
  <si>
    <t>Taxonomy test expression</t>
  </si>
  <si>
    <t>Technical expression reflecting the validation according to XBRL formula 1.0 specification</t>
  </si>
  <si>
    <t>Identification of technical validations being deactivated on a given date. Not all technical validations must be deactivated when referenced validation is partially deactivated</t>
  </si>
  <si>
    <t>The same content as in case of Business Validation Worksheet</t>
  </si>
  <si>
    <r>
      <rPr>
        <b/>
        <sz val="16"/>
        <rFont val="Calibri"/>
        <family val="2"/>
        <charset val="238"/>
        <scheme val="minor"/>
      </rPr>
      <t>Identical data points</t>
    </r>
    <r>
      <rPr>
        <b/>
        <sz val="11"/>
        <rFont val="Calibri"/>
        <family val="2"/>
        <charset val="238"/>
        <scheme val="minor"/>
      </rPr>
      <t xml:space="preserve">
</t>
    </r>
    <r>
      <rPr>
        <sz val="11"/>
        <rFont val="Calibri"/>
        <family val="2"/>
        <charset val="238"/>
        <scheme val="minor"/>
      </rPr>
      <t>List all the data points which are appearing in more than one template of an entry point. As data is only reported once in XBRL not validation is needed.</t>
    </r>
  </si>
  <si>
    <t>Data Point Signature</t>
  </si>
  <si>
    <t>Unique signature of data point based on its DPM characteristics, i.e. 'Metric: Monetary|BC/Own funds|BE/Basic own funds|LL/Controlling interests|MS/Available to meet SCR criteria|OF/Ordinary shares|SY/Called up but not yet paid in'</t>
  </si>
  <si>
    <t>Entry point</t>
  </si>
  <si>
    <t>Entry point that a certain data point is part of and for which it has more than 1 occurrence</t>
  </si>
  <si>
    <t>Number of occurrences</t>
  </si>
  <si>
    <t>Number of occurrences of a certain data point in a single predefined entry point</t>
  </si>
  <si>
    <t>Template/Table</t>
  </si>
  <si>
    <t>Technical table where a data point is reported</t>
  </si>
  <si>
    <t>Cell coordinates</t>
  </si>
  <si>
    <t>Row and column location of a data point in a certain table</t>
  </si>
  <si>
    <t>Changes to the file:</t>
  </si>
  <si>
    <t>Change description</t>
  </si>
  <si>
    <t>Reason for the change</t>
  </si>
  <si>
    <t>First affected release</t>
  </si>
  <si>
    <t>Division of "Yes" option into "Yes - formulas" and "Yes - other features"</t>
  </si>
  <si>
    <t>Some business checks can be implemented for example based on datatypes and do not require XBRL assertions</t>
  </si>
  <si>
    <t>2.0.1</t>
  </si>
  <si>
    <t>Introduction of sixth template/table to business and technical worksheets</t>
  </si>
  <si>
    <t>There are validations working across six business templates</t>
  </si>
  <si>
    <t>Adding "Release" column to "Business Validation" worksheet</t>
  </si>
  <si>
    <t>It is beneficial to differentiate between validations that are new for specific release and those inherited from the past releases</t>
  </si>
  <si>
    <t>"Dynamic error message" column was removed from "XBRL Tax Assertions" worksheet</t>
  </si>
  <si>
    <t>"Business check type" replaced with "Check type"</t>
  </si>
  <si>
    <t>Check types cover also technical checks</t>
  </si>
  <si>
    <t>"Business Validation" replaced with "Validations"</t>
  </si>
  <si>
    <t>Validations cover also technical validations</t>
  </si>
  <si>
    <t xml:space="preserve">"Comment to deactivation" column removed from 'Business Validation' worksheet </t>
  </si>
  <si>
    <t>There was an overlap between "Comment to deactivation" and "Comments to amendment or deactivation" columns</t>
  </si>
  <si>
    <t>Introduction of a new option to be chosen as a reason for deactivation: ‘Business/Technical’</t>
  </si>
  <si>
    <t>In case of some deactivation the rationale behind it is in the same time business and technical</t>
  </si>
  <si>
    <t>Adding "Temporary or permanent deactivation" column to "Business Validation" worksheet</t>
  </si>
  <si>
    <t>It is necessary to differentiate between those validations that were deactivated temporary and permanent</t>
  </si>
  <si>
    <t>Rearranging of columns order in "Business Validation" worksheet</t>
  </si>
  <si>
    <t>"Taxonomy validation ID" renamed as "Taxonomy validation file name base"</t>
  </si>
  <si>
    <t>"Taxonomy assertion ID" column added in "XBRL Tax Assertions" worksheet</t>
  </si>
  <si>
    <t>"Taxonomy assertion ID" covers information about an owner</t>
  </si>
  <si>
    <t>"Partially No" option added to "XBRL implementation" column of "Business Validation" worksheet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</si>
</sst>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0.00\ &quot;€&quot;_-;\-* #,##0.00\ &quot;€&quot;_-;_-* &quot;-&quot;??\ &quot;€&quot;_-;_-@_-"/>
    <numFmt numFmtId="164" formatCode="\$#,##0"/>
    <numFmt numFmtId="165" formatCode="0.0%"/>
    <numFmt numFmtId="166" formatCode="_(&quot;$&quot;* #,##0_);_(&quot;$&quot;* \(#,##0\);_(&quot;$&quot;* &quot;-&quot;??_);_(@_)"/>
  </numFmts>
  <fonts count="68">
    <font>
      <sz val="11"/>
      <color theme="1"/>
      <name val="Calibri"/>
      <family val="2"/>
      <scheme val="minor"/>
    </font>
    <font>
      <sz val="11"/>
      <color theme="1"/>
      <name val="Calibri"/>
      <family val="2"/>
      <scheme val="minor"/>
    </font>
    <font>
      <b/>
      <sz val="16"/>
      <name val="Calibri"/>
    </font>
    <font>
      <b/>
      <sz val="11"/>
      <name val="Calibri"/>
    </font>
    <font>
      <i/>
      <sz val="10"/>
      <name val="Calibri"/>
    </font>
    <font>
      <b/>
      <sz val="16"/>
      <color rgb="FF1F3864"/>
      <name val="Aptos"/>
    </font>
    <font>
      <b/>
      <sz val="12"/>
      <color rgb="FF1F3864"/>
      <name val="Aptos"/>
    </font>
    <font>
      <b/>
      <sz val="11"/>
      <color rgb="FFFFFFFF"/>
      <name val="Aptos"/>
    </font>
    <font>
      <sz val="11"/>
      <name val="Aptos"/>
    </font>
    <font>
      <sz val="11"/>
      <color rgb="FF0070C0"/>
      <name val="Aptos"/>
    </font>
    <font>
      <b/>
      <sz val="11"/>
      <color rgb="FF1F3864"/>
      <name val="Aptos"/>
    </font>
    <font>
      <b/>
      <sz val="11"/>
      <name val="Aptos"/>
    </font>
    <font>
      <sz val="10"/>
      <name val="Arial"/>
      <family val="2"/>
    </font>
    <font>
      <b/>
      <u val="singleAccounting"/>
      <sz val="18"/>
      <name val="Arial"/>
      <family val="2"/>
    </font>
    <font>
      <b/>
      <sz val="18"/>
      <name val="Arial"/>
      <family val="2"/>
    </font>
    <font>
      <sz val="8"/>
      <name val="Arial"/>
      <family val="2"/>
    </font>
    <font>
      <i/>
      <sz val="10"/>
      <name val="Arial"/>
      <family val="2"/>
    </font>
    <font>
      <b/>
      <sz val="10"/>
      <name val="Arial"/>
      <family val="2"/>
    </font>
    <font>
      <sz val="9"/>
      <color indexed="81"/>
      <name val="Tahoma"/>
      <charset val="1"/>
    </font>
    <font>
      <sz val="9"/>
      <color indexed="81"/>
      <name val="Tahoma"/>
      <family val="2"/>
    </font>
    <font>
      <b/>
      <sz val="11"/>
      <color theme="1"/>
      <name val="Calibri"/>
      <family val="2"/>
      <scheme val="minor"/>
    </font>
    <font>
      <sz val="10"/>
      <name val="Arial"/>
    </font>
    <font>
      <b/>
      <sz val="12"/>
      <name val="Arial"/>
      <family val="2"/>
    </font>
    <font>
      <sz val="10"/>
      <name val="MS Sans Serif"/>
    </font>
    <font>
      <b/>
      <sz val="16"/>
      <name val="Microsoft Sans Serif"/>
      <family val="2"/>
    </font>
    <font>
      <sz val="10"/>
      <name val="Arial Unicode MS"/>
      <family val="2"/>
    </font>
    <font>
      <sz val="10"/>
      <color indexed="55"/>
      <name val="Arial Unicode MS"/>
      <family val="2"/>
    </font>
    <font>
      <sz val="8"/>
      <color indexed="23"/>
      <name val="Arial Unicode MS"/>
      <family val="2"/>
    </font>
    <font>
      <sz val="8"/>
      <name val="Arial Unicode MS"/>
      <family val="2"/>
    </font>
    <font>
      <sz val="10"/>
      <color indexed="23"/>
      <name val="Arial Unicode MS"/>
      <family val="2"/>
    </font>
    <font>
      <sz val="8"/>
      <color indexed="55"/>
      <name val="Arial Unicode MS"/>
      <family val="2"/>
    </font>
    <font>
      <i/>
      <sz val="8"/>
      <color indexed="23"/>
      <name val="Nina"/>
      <family val="2"/>
    </font>
    <font>
      <sz val="11"/>
      <color theme="1"/>
      <name val="Tahoma"/>
      <family val="2"/>
    </font>
    <font>
      <b/>
      <sz val="14"/>
      <color theme="1"/>
      <name val="Imago Book"/>
    </font>
    <font>
      <sz val="11"/>
      <color theme="1"/>
      <name val="Arial"/>
      <family val="2"/>
    </font>
    <font>
      <b/>
      <sz val="12"/>
      <color rgb="FF313896"/>
      <name val="Imago Book"/>
    </font>
    <font>
      <b/>
      <sz val="12"/>
      <name val="Imago Book"/>
    </font>
    <font>
      <b/>
      <sz val="1"/>
      <color rgb="FF313896"/>
      <name val="Arial"/>
      <family val="2"/>
    </font>
    <font>
      <b/>
      <sz val="11"/>
      <color rgb="FFFFFFFF"/>
      <name val="Arial"/>
      <family val="2"/>
    </font>
    <font>
      <i/>
      <sz val="11"/>
      <color rgb="FF808080"/>
      <name val="Arial"/>
      <family val="2"/>
    </font>
    <font>
      <sz val="11"/>
      <color rgb="FF008000"/>
      <name val="Arial"/>
      <family val="2"/>
    </font>
    <font>
      <sz val="12"/>
      <color theme="1"/>
      <name val="Arial"/>
      <family val="2"/>
    </font>
    <font>
      <b/>
      <sz val="9"/>
      <color rgb="FF000000"/>
      <name val="Calibri"/>
      <family val="2"/>
    </font>
    <font>
      <sz val="9"/>
      <color rgb="FF000000"/>
      <name val="Calibri"/>
      <family val="2"/>
    </font>
    <font>
      <sz val="9"/>
      <color rgb="FF9C0006"/>
      <name val="Calibri"/>
      <family val="2"/>
    </font>
    <font>
      <sz val="9"/>
      <color rgb="FF9C5700"/>
      <name val="Calibri"/>
      <family val="2"/>
    </font>
    <font>
      <sz val="9"/>
      <color rgb="FF006100"/>
      <name val="Calibri"/>
      <family val="2"/>
    </font>
    <font>
      <sz val="9"/>
      <color rgb="FF4472C4"/>
      <name val="Calibri"/>
      <family val="2"/>
    </font>
    <font>
      <b/>
      <sz val="14"/>
      <color theme="1"/>
      <name val="Calibri"/>
      <family val="2"/>
      <scheme val="minor"/>
    </font>
    <font>
      <b/>
      <sz val="14"/>
      <color theme="0"/>
      <name val="Calibri"/>
      <family val="2"/>
      <scheme val="minor"/>
    </font>
    <font>
      <sz val="12"/>
      <color theme="1"/>
      <name val="Calibri"/>
      <family val="2"/>
      <scheme val="minor"/>
    </font>
    <font>
      <sz val="14"/>
      <name val="Calibri"/>
      <family val="2"/>
      <scheme val="minor"/>
    </font>
    <font>
      <b/>
      <sz val="16"/>
      <name val="Calibri"/>
      <family val="2"/>
    </font>
    <font>
      <sz val="11"/>
      <color rgb="FFFF0000"/>
      <name val="Calibri"/>
      <family val="2"/>
      <scheme val="minor"/>
    </font>
    <font>
      <sz val="11"/>
      <color rgb="FF9C6500"/>
      <name val="Calibri"/>
      <family val="2"/>
      <scheme val="minor"/>
    </font>
    <font>
      <b/>
      <sz val="16"/>
      <color theme="1"/>
      <name val="Calibri"/>
      <family val="2"/>
      <scheme val="minor"/>
    </font>
    <font>
      <b/>
      <sz val="18"/>
      <color theme="1"/>
      <name val="Calibri"/>
      <family val="2"/>
      <scheme val="minor"/>
    </font>
    <font>
      <b/>
      <sz val="11"/>
      <color theme="1"/>
      <name val="Calibri"/>
      <family val="2"/>
      <charset val="238"/>
      <scheme val="minor"/>
    </font>
    <font>
      <b/>
      <sz val="16"/>
      <color theme="1"/>
      <name val="Calibri"/>
      <family val="2"/>
      <charset val="238"/>
      <scheme val="minor"/>
    </font>
    <font>
      <sz val="11"/>
      <color theme="1"/>
      <name val="Calibri"/>
      <family val="2"/>
      <charset val="238"/>
      <scheme val="minor"/>
    </font>
    <font>
      <u/>
      <sz val="11"/>
      <color theme="1"/>
      <name val="Calibri"/>
      <family val="2"/>
      <scheme val="minor"/>
    </font>
    <font>
      <b/>
      <sz val="11"/>
      <name val="Calibri"/>
      <family val="2"/>
      <scheme val="minor"/>
    </font>
    <font>
      <sz val="11"/>
      <name val="Calibri"/>
      <family val="2"/>
      <scheme val="minor"/>
    </font>
    <font>
      <b/>
      <sz val="11"/>
      <name val="Calibri"/>
      <family val="2"/>
      <charset val="238"/>
      <scheme val="minor"/>
    </font>
    <font>
      <b/>
      <sz val="16"/>
      <name val="Calibri"/>
      <family val="2"/>
      <charset val="238"/>
      <scheme val="minor"/>
    </font>
    <font>
      <sz val="11"/>
      <name val="Calibri"/>
      <family val="2"/>
      <charset val="238"/>
      <scheme val="minor"/>
    </font>
    <font>
      <b/>
      <sz val="10"/>
      <color indexed="8"/>
      <name val="Calibri"/>
      <family val="2"/>
      <charset val="238"/>
      <scheme val="minor"/>
    </font>
    <font>
      <i/>
      <sz val="10"/>
      <name val="Calibri"/>
      <family val="2"/>
      <charset val="238"/>
      <scheme val="minor"/>
    </font>
  </fonts>
  <fills count="32">
    <fill>
      <patternFill patternType="none"/>
    </fill>
    <fill>
      <patternFill patternType="gray125"/>
    </fill>
    <fill>
      <patternFill patternType="solid">
        <fgColor rgb="FFD9E1F2"/>
        <bgColor rgb="FFD9E1F2"/>
      </patternFill>
    </fill>
    <fill>
      <patternFill patternType="solid">
        <fgColor rgb="FFFFF2CC"/>
        <bgColor rgb="FFFFF2CC"/>
      </patternFill>
    </fill>
    <fill>
      <patternFill patternType="solid">
        <fgColor rgb="FF2F5496"/>
      </patternFill>
    </fill>
    <fill>
      <patternFill patternType="solid">
        <fgColor rgb="FFF2F7FB"/>
      </patternFill>
    </fill>
    <fill>
      <patternFill patternType="solid">
        <fgColor rgb="FFFFFF00"/>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4" tint="0.59999389629810485"/>
        <bgColor indexed="64"/>
      </patternFill>
    </fill>
    <fill>
      <patternFill patternType="solid">
        <fgColor theme="7" tint="0.59996337778862885"/>
        <bgColor indexed="64"/>
      </patternFill>
    </fill>
    <fill>
      <patternFill patternType="solid">
        <fgColor theme="6" tint="0.59999389629810485"/>
        <bgColor indexed="64"/>
      </patternFill>
    </fill>
    <fill>
      <patternFill patternType="solid">
        <fgColor indexed="9"/>
        <bgColor indexed="64"/>
      </patternFill>
    </fill>
    <fill>
      <patternFill patternType="solid">
        <fgColor indexed="22"/>
        <bgColor indexed="64"/>
      </patternFill>
    </fill>
    <fill>
      <patternFill patternType="solid">
        <fgColor indexed="9"/>
      </patternFill>
    </fill>
    <fill>
      <patternFill patternType="solid">
        <fgColor indexed="26"/>
        <bgColor indexed="64"/>
      </patternFill>
    </fill>
    <fill>
      <patternFill patternType="solid">
        <fgColor indexed="9"/>
        <bgColor indexed="9"/>
      </patternFill>
    </fill>
    <fill>
      <patternFill patternType="solid">
        <fgColor rgb="FF000000"/>
        <bgColor indexed="64"/>
      </patternFill>
    </fill>
    <fill>
      <patternFill patternType="solid">
        <fgColor rgb="FFD9D9D9"/>
        <bgColor indexed="64"/>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theme="0"/>
        <bgColor indexed="64"/>
      </patternFill>
    </fill>
    <fill>
      <patternFill patternType="solid">
        <fgColor theme="1"/>
        <bgColor indexed="64"/>
      </patternFill>
    </fill>
    <fill>
      <patternFill patternType="solid">
        <fgColor theme="7"/>
        <bgColor indexed="64"/>
      </patternFill>
    </fill>
    <fill>
      <patternFill patternType="solid">
        <fgColor rgb="FFFF0000"/>
        <bgColor indexed="64"/>
      </patternFill>
    </fill>
    <fill>
      <patternFill patternType="solid">
        <fgColor theme="9"/>
        <bgColor indexed="64"/>
      </patternFill>
    </fill>
    <fill>
      <patternFill patternType="solid">
        <fgColor rgb="FFFFEB9C"/>
      </patternFill>
    </fill>
    <fill>
      <patternFill patternType="solid">
        <fgColor rgb="FF00B0F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3" tint="0.79998168889431442"/>
        <bgColor indexed="64"/>
      </patternFill>
    </fill>
  </fills>
  <borders count="58">
    <border>
      <left/>
      <right/>
      <top/>
      <bottom/>
      <diagonal/>
    </border>
    <border>
      <left style="thin">
        <color rgb="FF000000"/>
      </left>
      <right style="thin">
        <color rgb="FF000000"/>
      </right>
      <top style="thin">
        <color rgb="FF000000"/>
      </top>
      <bottom style="thin">
        <color rgb="FF000000"/>
      </bottom>
      <diagonal/>
    </border>
    <border>
      <left style="thin">
        <color rgb="FFB4C6E7"/>
      </left>
      <right style="thin">
        <color rgb="FFB4C6E7"/>
      </right>
      <top style="thin">
        <color rgb="FFB4C6E7"/>
      </top>
      <bottom style="thin">
        <color rgb="FFB4C6E7"/>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thin">
        <color indexed="64"/>
      </top>
      <bottom style="double">
        <color indexed="64"/>
      </bottom>
      <diagonal/>
    </border>
    <border>
      <left/>
      <right/>
      <top style="thin">
        <color indexed="64"/>
      </top>
      <bottom/>
      <diagonal/>
    </border>
    <border>
      <left/>
      <right/>
      <top/>
      <bottom style="double">
        <color indexed="64"/>
      </bottom>
      <diagonal/>
    </border>
    <border>
      <left/>
      <right style="thin">
        <color indexed="64"/>
      </right>
      <top/>
      <bottom style="double">
        <color indexed="64"/>
      </bottom>
      <diagonal/>
    </border>
    <border>
      <left/>
      <right style="thin">
        <color indexed="64"/>
      </right>
      <top/>
      <bottom/>
      <diagonal/>
    </border>
    <border>
      <left/>
      <right style="thin">
        <color indexed="64"/>
      </right>
      <top style="thin">
        <color indexed="64"/>
      </top>
      <bottom style="double">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indexed="19"/>
      </left>
      <right style="thin">
        <color indexed="19"/>
      </right>
      <top style="thin">
        <color indexed="19"/>
      </top>
      <bottom style="thin">
        <color indexed="19"/>
      </bottom>
      <diagonal/>
    </border>
    <border>
      <left style="thin">
        <color indexed="19"/>
      </left>
      <right style="thin">
        <color indexed="19"/>
      </right>
      <top style="thin">
        <color indexed="19"/>
      </top>
      <bottom/>
      <diagonal/>
    </border>
    <border>
      <left style="thin">
        <color indexed="19"/>
      </left>
      <right/>
      <top style="thin">
        <color indexed="19"/>
      </top>
      <bottom style="thin">
        <color indexed="19"/>
      </bottom>
      <diagonal/>
    </border>
    <border>
      <left/>
      <right/>
      <top style="thin">
        <color indexed="19"/>
      </top>
      <bottom style="thin">
        <color indexed="19"/>
      </bottom>
      <diagonal/>
    </border>
    <border>
      <left/>
      <right style="thin">
        <color indexed="19"/>
      </right>
      <top style="thin">
        <color indexed="19"/>
      </top>
      <bottom style="thin">
        <color indexed="19"/>
      </bottom>
      <diagonal/>
    </border>
    <border>
      <left/>
      <right/>
      <top/>
      <bottom style="thin">
        <color indexed="55"/>
      </bottom>
      <diagonal/>
    </border>
    <border>
      <left style="thin">
        <color indexed="55"/>
      </left>
      <right/>
      <top style="thin">
        <color indexed="55"/>
      </top>
      <bottom/>
      <diagonal/>
    </border>
    <border>
      <left/>
      <right/>
      <top style="thin">
        <color indexed="55"/>
      </top>
      <bottom/>
      <diagonal/>
    </border>
    <border>
      <left/>
      <right style="thin">
        <color indexed="55"/>
      </right>
      <top style="thin">
        <color indexed="55"/>
      </top>
      <bottom/>
      <diagonal/>
    </border>
    <border>
      <left style="thin">
        <color indexed="55"/>
      </left>
      <right/>
      <top/>
      <bottom/>
      <diagonal/>
    </border>
    <border>
      <left style="thin">
        <color indexed="55"/>
      </left>
      <right style="thin">
        <color indexed="55"/>
      </right>
      <top style="thin">
        <color indexed="55"/>
      </top>
      <bottom style="thin">
        <color indexed="55"/>
      </bottom>
      <diagonal/>
    </border>
    <border>
      <left/>
      <right style="thin">
        <color indexed="55"/>
      </right>
      <top/>
      <bottom/>
      <diagonal/>
    </border>
    <border>
      <left style="thin">
        <color indexed="55"/>
      </left>
      <right/>
      <top/>
      <bottom style="thin">
        <color indexed="55"/>
      </bottom>
      <diagonal/>
    </border>
    <border>
      <left/>
      <right style="thin">
        <color indexed="55"/>
      </right>
      <top/>
      <bottom style="thin">
        <color indexed="55"/>
      </bottom>
      <diagonal/>
    </border>
    <border>
      <left/>
      <right/>
      <top/>
      <bottom style="dotted">
        <color indexed="55"/>
      </bottom>
      <diagonal/>
    </border>
    <border>
      <left/>
      <right style="dotted">
        <color indexed="55"/>
      </right>
      <top style="dotted">
        <color indexed="55"/>
      </top>
      <bottom style="dotted">
        <color indexed="55"/>
      </bottom>
      <diagonal/>
    </border>
    <border>
      <left/>
      <right/>
      <top style="dotted">
        <color indexed="55"/>
      </top>
      <bottom style="dotted">
        <color indexed="55"/>
      </bottom>
      <diagonal/>
    </border>
    <border>
      <left/>
      <right/>
      <top style="dotted">
        <color indexed="55"/>
      </top>
      <bottom/>
      <diagonal/>
    </border>
    <border>
      <left/>
      <right style="dotted">
        <color indexed="55"/>
      </right>
      <top style="dotted">
        <color indexed="55"/>
      </top>
      <bottom/>
      <diagonal/>
    </border>
    <border>
      <left style="dotted">
        <color indexed="55"/>
      </left>
      <right/>
      <top style="dotted">
        <color indexed="55"/>
      </top>
      <bottom/>
      <diagonal/>
    </border>
    <border>
      <left style="dotted">
        <color indexed="55"/>
      </left>
      <right/>
      <top style="dotted">
        <color indexed="55"/>
      </top>
      <bottom style="dotted">
        <color indexed="55"/>
      </bottom>
      <diagonal/>
    </border>
    <border>
      <left style="dotted">
        <color indexed="55"/>
      </left>
      <right style="dotted">
        <color indexed="55"/>
      </right>
      <top style="dotted">
        <color indexed="55"/>
      </top>
      <bottom style="dotted">
        <color indexed="55"/>
      </bottom>
      <diagonal/>
    </border>
    <border>
      <left style="dotted">
        <color indexed="55"/>
      </left>
      <right/>
      <top/>
      <bottom style="dotted">
        <color indexed="55"/>
      </bottom>
      <diagonal/>
    </border>
    <border>
      <left/>
      <right style="dotted">
        <color indexed="55"/>
      </right>
      <top/>
      <bottom style="dotted">
        <color indexed="55"/>
      </bottom>
      <diagonal/>
    </border>
    <border>
      <left style="medium">
        <color rgb="FF808080"/>
      </left>
      <right style="medium">
        <color rgb="FF808080"/>
      </right>
      <top style="medium">
        <color rgb="FF808080"/>
      </top>
      <bottom style="medium">
        <color rgb="FF808080"/>
      </bottom>
      <diagonal/>
    </border>
    <border>
      <left/>
      <right style="medium">
        <color rgb="FF808080"/>
      </right>
      <top style="medium">
        <color rgb="FF808080"/>
      </top>
      <bottom style="medium">
        <color rgb="FF808080"/>
      </bottom>
      <diagonal/>
    </border>
    <border>
      <left style="medium">
        <color rgb="FF808080"/>
      </left>
      <right style="medium">
        <color rgb="FF808080"/>
      </right>
      <top/>
      <bottom style="medium">
        <color rgb="FF808080"/>
      </bottom>
      <diagonal/>
    </border>
    <border>
      <left/>
      <right style="medium">
        <color rgb="FF808080"/>
      </right>
      <top/>
      <bottom style="medium">
        <color rgb="FF808080"/>
      </bottom>
      <diagonal/>
    </border>
    <border>
      <left style="medium">
        <color rgb="FF808080"/>
      </left>
      <right style="medium">
        <color rgb="FF808080"/>
      </right>
      <top/>
      <bottom/>
      <diagonal/>
    </border>
    <border>
      <left style="medium">
        <color rgb="FF808080"/>
      </left>
      <right style="medium">
        <color rgb="FF808080"/>
      </right>
      <top style="medium">
        <color rgb="FF808080"/>
      </top>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4" fontId="1" fillId="0" borderId="0" applyFont="0" applyFill="0" applyBorder="0" applyAlignment="0" applyProtection="0"/>
    <xf numFmtId="9" fontId="1" fillId="0" borderId="0" applyFont="0" applyFill="0" applyBorder="0" applyAlignment="0" applyProtection="0"/>
    <xf numFmtId="0" fontId="21" fillId="0" borderId="0"/>
    <xf numFmtId="0" fontId="23" fillId="14" borderId="0"/>
    <xf numFmtId="0" fontId="54" fillId="27" borderId="0" applyNumberFormat="0" applyBorder="0" applyAlignment="0" applyProtection="0"/>
  </cellStyleXfs>
  <cellXfs count="279">
    <xf numFmtId="0" fontId="0" fillId="0" borderId="0" xfId="0"/>
    <xf numFmtId="0" fontId="3" fillId="2" borderId="1" xfId="0" applyFont="1" applyFill="1" applyBorder="1" applyAlignment="1">
      <alignment horizontal="center" vertical="center" wrapText="1"/>
    </xf>
    <xf numFmtId="0" fontId="4" fillId="3" borderId="1" xfId="0" applyFont="1" applyFill="1" applyBorder="1" applyAlignment="1">
      <alignment vertical="top" wrapText="1"/>
    </xf>
    <xf numFmtId="0" fontId="7" fillId="4" borderId="2" xfId="0" applyFont="1" applyFill="1" applyBorder="1" applyAlignment="1">
      <alignment horizontal="center" vertical="center"/>
    </xf>
    <xf numFmtId="0" fontId="8" fillId="0" borderId="2" xfId="0" applyFont="1" applyBorder="1" applyAlignment="1">
      <alignment horizontal="center" vertical="center"/>
    </xf>
    <xf numFmtId="164" fontId="9" fillId="0" borderId="2" xfId="0" applyNumberFormat="1" applyFont="1" applyBorder="1" applyAlignment="1">
      <alignment horizontal="right" vertical="center"/>
    </xf>
    <xf numFmtId="164" fontId="8" fillId="0" borderId="2" xfId="0" applyNumberFormat="1" applyFont="1" applyBorder="1" applyAlignment="1">
      <alignment horizontal="right" vertical="center"/>
    </xf>
    <xf numFmtId="0" fontId="9" fillId="0" borderId="2" xfId="0" applyFont="1" applyBorder="1" applyAlignment="1">
      <alignment horizontal="center" vertical="center"/>
    </xf>
    <xf numFmtId="0" fontId="8" fillId="5" borderId="2" xfId="0" applyFont="1" applyFill="1" applyBorder="1" applyAlignment="1">
      <alignment horizontal="center" vertical="center"/>
    </xf>
    <xf numFmtId="164" fontId="9" fillId="5" borderId="2" xfId="0" applyNumberFormat="1" applyFont="1" applyFill="1" applyBorder="1" applyAlignment="1">
      <alignment horizontal="right" vertical="center"/>
    </xf>
    <xf numFmtId="164" fontId="8" fillId="5" borderId="2" xfId="0" applyNumberFormat="1" applyFont="1" applyFill="1" applyBorder="1" applyAlignment="1">
      <alignment horizontal="right" vertical="center"/>
    </xf>
    <xf numFmtId="0" fontId="9" fillId="5" borderId="2" xfId="0" applyFont="1" applyFill="1" applyBorder="1" applyAlignment="1">
      <alignment horizontal="center" vertical="center"/>
    </xf>
    <xf numFmtId="0" fontId="10" fillId="0" borderId="2" xfId="0" applyFont="1" applyBorder="1" applyAlignment="1">
      <alignment horizontal="center" vertical="center"/>
    </xf>
    <xf numFmtId="164" fontId="11" fillId="0" borderId="2" xfId="0" applyNumberFormat="1" applyFont="1" applyBorder="1" applyAlignment="1">
      <alignment horizontal="right" vertical="center"/>
    </xf>
    <xf numFmtId="3" fontId="11" fillId="0" borderId="2" xfId="0" applyNumberFormat="1" applyFont="1" applyBorder="1" applyAlignment="1">
      <alignment horizontal="right" vertical="center"/>
    </xf>
    <xf numFmtId="0" fontId="8" fillId="0" borderId="2" xfId="0" applyFont="1" applyBorder="1" applyAlignment="1">
      <alignment horizontal="left" vertical="center"/>
    </xf>
    <xf numFmtId="165" fontId="8" fillId="0" borderId="2" xfId="0" applyNumberFormat="1" applyFont="1" applyBorder="1" applyAlignment="1">
      <alignment horizontal="center" vertical="center"/>
    </xf>
    <xf numFmtId="166" fontId="14" fillId="0" borderId="0" xfId="1" applyNumberFormat="1" applyFont="1" applyAlignment="1" applyProtection="1">
      <alignment wrapText="1"/>
    </xf>
    <xf numFmtId="166" fontId="15" fillId="0" borderId="0" xfId="1" applyNumberFormat="1" applyFont="1" applyProtection="1"/>
    <xf numFmtId="166" fontId="0" fillId="0" borderId="0" xfId="1" applyNumberFormat="1" applyFont="1" applyFill="1" applyProtection="1"/>
    <xf numFmtId="166" fontId="0" fillId="0" borderId="0" xfId="1" applyNumberFormat="1" applyFont="1" applyProtection="1"/>
    <xf numFmtId="166" fontId="16" fillId="0" borderId="3" xfId="1" applyNumberFormat="1" applyFont="1" applyFill="1" applyBorder="1" applyAlignment="1" applyProtection="1">
      <alignment horizontal="left"/>
    </xf>
    <xf numFmtId="166" fontId="16" fillId="0" borderId="4" xfId="1" applyNumberFormat="1" applyFont="1" applyFill="1" applyBorder="1" applyAlignment="1" applyProtection="1">
      <alignment horizontal="left"/>
    </xf>
    <xf numFmtId="0" fontId="17" fillId="6" borderId="6" xfId="1" applyNumberFormat="1" applyFont="1" applyFill="1" applyBorder="1" applyAlignment="1" applyProtection="1">
      <alignment horizontal="center"/>
      <protection locked="0"/>
    </xf>
    <xf numFmtId="166" fontId="16" fillId="0" borderId="5" xfId="1" applyNumberFormat="1" applyFont="1" applyFill="1" applyBorder="1" applyAlignment="1" applyProtection="1">
      <alignment horizontal="left"/>
    </xf>
    <xf numFmtId="166" fontId="17" fillId="0" borderId="0" xfId="1" applyNumberFormat="1" applyFont="1" applyAlignment="1" applyProtection="1">
      <alignment wrapText="1"/>
    </xf>
    <xf numFmtId="166" fontId="17" fillId="6" borderId="6" xfId="1" applyNumberFormat="1" applyFont="1" applyFill="1" applyBorder="1" applyAlignment="1" applyProtection="1">
      <alignment horizontal="center" vertical="top" wrapText="1"/>
      <protection locked="0"/>
    </xf>
    <xf numFmtId="166" fontId="17" fillId="7" borderId="7" xfId="1" applyNumberFormat="1" applyFont="1" applyFill="1" applyBorder="1" applyProtection="1"/>
    <xf numFmtId="166" fontId="12" fillId="8" borderId="8" xfId="2" applyNumberFormat="1" applyFont="1" applyFill="1" applyBorder="1" applyAlignment="1" applyProtection="1">
      <alignment horizontal="center"/>
    </xf>
    <xf numFmtId="166" fontId="0" fillId="9" borderId="9" xfId="1" applyNumberFormat="1" applyFont="1" applyFill="1" applyBorder="1" applyProtection="1"/>
    <xf numFmtId="166" fontId="0" fillId="10" borderId="9" xfId="1" applyNumberFormat="1" applyFont="1" applyFill="1" applyBorder="1" applyProtection="1"/>
    <xf numFmtId="166" fontId="0" fillId="11" borderId="10" xfId="1" applyNumberFormat="1" applyFont="1" applyFill="1" applyBorder="1" applyProtection="1"/>
    <xf numFmtId="166" fontId="12" fillId="7" borderId="0" xfId="1" applyNumberFormat="1" applyFont="1" applyFill="1" applyProtection="1"/>
    <xf numFmtId="166" fontId="0" fillId="8" borderId="0" xfId="1" applyNumberFormat="1" applyFont="1" applyFill="1" applyBorder="1" applyProtection="1"/>
    <xf numFmtId="166" fontId="0" fillId="9" borderId="0" xfId="1" applyNumberFormat="1" applyFont="1" applyFill="1" applyBorder="1" applyProtection="1"/>
    <xf numFmtId="166" fontId="0" fillId="10" borderId="0" xfId="1" applyNumberFormat="1" applyFont="1" applyFill="1" applyBorder="1" applyProtection="1"/>
    <xf numFmtId="166" fontId="0" fillId="11" borderId="11" xfId="1" applyNumberFormat="1" applyFont="1" applyFill="1" applyBorder="1" applyProtection="1"/>
    <xf numFmtId="166" fontId="17" fillId="0" borderId="0" xfId="1" applyNumberFormat="1" applyFont="1" applyProtection="1"/>
    <xf numFmtId="166" fontId="0" fillId="8" borderId="7" xfId="1" applyNumberFormat="1" applyFont="1" applyFill="1" applyBorder="1" applyProtection="1"/>
    <xf numFmtId="166" fontId="0" fillId="9" borderId="7" xfId="1" applyNumberFormat="1" applyFont="1" applyFill="1" applyBorder="1" applyProtection="1"/>
    <xf numFmtId="166" fontId="0" fillId="10" borderId="7" xfId="1" applyNumberFormat="1" applyFont="1" applyFill="1" applyBorder="1" applyProtection="1"/>
    <xf numFmtId="166" fontId="0" fillId="11" borderId="12" xfId="1" applyNumberFormat="1" applyFont="1" applyFill="1" applyBorder="1" applyProtection="1"/>
    <xf numFmtId="166" fontId="12" fillId="0" borderId="0" xfId="1" applyNumberFormat="1" applyFont="1" applyProtection="1"/>
    <xf numFmtId="166" fontId="17" fillId="7" borderId="9" xfId="1" applyNumberFormat="1" applyFont="1" applyFill="1" applyBorder="1" applyProtection="1"/>
    <xf numFmtId="166" fontId="17" fillId="8" borderId="9" xfId="1" applyNumberFormat="1" applyFont="1" applyFill="1" applyBorder="1" applyProtection="1"/>
    <xf numFmtId="166" fontId="17" fillId="9" borderId="9" xfId="1" applyNumberFormat="1" applyFont="1" applyFill="1" applyBorder="1" applyProtection="1"/>
    <xf numFmtId="166" fontId="17" fillId="10" borderId="9" xfId="1" applyNumberFormat="1" applyFont="1" applyFill="1" applyBorder="1" applyProtection="1"/>
    <xf numFmtId="166" fontId="17" fillId="11" borderId="10" xfId="1" applyNumberFormat="1" applyFont="1" applyFill="1" applyBorder="1" applyProtection="1"/>
    <xf numFmtId="9" fontId="12" fillId="7" borderId="13" xfId="2" applyFont="1" applyFill="1" applyBorder="1" applyProtection="1"/>
    <xf numFmtId="166" fontId="12" fillId="8" borderId="8" xfId="2" applyNumberFormat="1" applyFont="1" applyFill="1" applyBorder="1" applyProtection="1"/>
    <xf numFmtId="166" fontId="12" fillId="9" borderId="8" xfId="1" applyNumberFormat="1" applyFont="1" applyFill="1" applyBorder="1" applyProtection="1"/>
    <xf numFmtId="166" fontId="12" fillId="10" borderId="8" xfId="1" applyNumberFormat="1" applyFont="1" applyFill="1" applyBorder="1" applyProtection="1"/>
    <xf numFmtId="166" fontId="12" fillId="11" borderId="14" xfId="1" applyNumberFormat="1" applyFont="1" applyFill="1" applyBorder="1" applyProtection="1"/>
    <xf numFmtId="9" fontId="17" fillId="7" borderId="13" xfId="2" applyFont="1" applyFill="1" applyBorder="1" applyProtection="1"/>
    <xf numFmtId="9" fontId="17" fillId="7" borderId="15" xfId="2" applyFont="1" applyFill="1" applyBorder="1" applyProtection="1"/>
    <xf numFmtId="9" fontId="12" fillId="8" borderId="8" xfId="2" applyFont="1" applyFill="1" applyBorder="1" applyAlignment="1" applyProtection="1">
      <alignment horizontal="center"/>
    </xf>
    <xf numFmtId="9" fontId="17" fillId="9" borderId="8" xfId="2" applyFont="1" applyFill="1" applyBorder="1" applyProtection="1"/>
    <xf numFmtId="9" fontId="17" fillId="10" borderId="8" xfId="2" applyFont="1" applyFill="1" applyBorder="1" applyProtection="1"/>
    <xf numFmtId="9" fontId="17" fillId="11" borderId="14" xfId="2" applyFont="1" applyFill="1" applyBorder="1" applyProtection="1"/>
    <xf numFmtId="166" fontId="17" fillId="7" borderId="9" xfId="1" applyNumberFormat="1" applyFont="1" applyFill="1" applyBorder="1" applyAlignment="1" applyProtection="1">
      <alignment horizontal="center"/>
    </xf>
    <xf numFmtId="0" fontId="21" fillId="0" borderId="0" xfId="3"/>
    <xf numFmtId="0" fontId="12" fillId="12" borderId="16" xfId="3" applyFont="1" applyFill="1" applyBorder="1" applyAlignment="1">
      <alignment wrapText="1"/>
    </xf>
    <xf numFmtId="0" fontId="17" fillId="12" borderId="0" xfId="3" applyFont="1" applyFill="1"/>
    <xf numFmtId="49" fontId="16" fillId="12" borderId="16" xfId="3" applyNumberFormat="1" applyFont="1" applyFill="1" applyBorder="1" applyAlignment="1">
      <alignment horizontal="center" wrapText="1"/>
    </xf>
    <xf numFmtId="0" fontId="16" fillId="12" borderId="16" xfId="3" applyFont="1" applyFill="1" applyBorder="1" applyAlignment="1">
      <alignment horizontal="center" wrapText="1"/>
    </xf>
    <xf numFmtId="0" fontId="17" fillId="13" borderId="17" xfId="3" applyFont="1" applyFill="1" applyBorder="1" applyAlignment="1">
      <alignment horizontal="center" vertical="center" wrapText="1"/>
    </xf>
    <xf numFmtId="0" fontId="12" fillId="0" borderId="0" xfId="3" applyFont="1" applyAlignment="1">
      <alignment horizontal="left" indent="1"/>
    </xf>
    <xf numFmtId="0" fontId="21" fillId="12" borderId="0" xfId="3" applyFill="1" applyAlignment="1">
      <alignment horizontal="left" indent="1"/>
    </xf>
    <xf numFmtId="0" fontId="12" fillId="12" borderId="0" xfId="3" applyFont="1" applyFill="1" applyAlignment="1">
      <alignment horizontal="left" indent="1"/>
    </xf>
    <xf numFmtId="0" fontId="25" fillId="14" borderId="0" xfId="4" applyFont="1" applyAlignment="1">
      <alignment vertical="center"/>
    </xf>
    <xf numFmtId="0" fontId="24" fillId="12" borderId="0" xfId="4" applyFont="1" applyFill="1" applyAlignment="1">
      <alignment horizontal="left" vertical="center"/>
    </xf>
    <xf numFmtId="0" fontId="25" fillId="0" borderId="0" xfId="4" applyFont="1" applyFill="1" applyAlignment="1">
      <alignment vertical="center"/>
    </xf>
    <xf numFmtId="0" fontId="25" fillId="14" borderId="0" xfId="4" applyFont="1"/>
    <xf numFmtId="0" fontId="25" fillId="14" borderId="0" xfId="4" applyFont="1" applyAlignment="1">
      <alignment horizontal="right"/>
    </xf>
    <xf numFmtId="0" fontId="25" fillId="14" borderId="22" xfId="4" applyFont="1" applyBorder="1"/>
    <xf numFmtId="0" fontId="25" fillId="14" borderId="23" xfId="4" applyFont="1" applyBorder="1"/>
    <xf numFmtId="0" fontId="25" fillId="14" borderId="24" xfId="4" applyFont="1" applyBorder="1"/>
    <xf numFmtId="0" fontId="25" fillId="14" borderId="25" xfId="4" applyFont="1" applyBorder="1"/>
    <xf numFmtId="0" fontId="25" fillId="14" borderId="26" xfId="4" applyFont="1" applyBorder="1"/>
    <xf numFmtId="0" fontId="25" fillId="14" borderId="27" xfId="4" applyFont="1" applyBorder="1"/>
    <xf numFmtId="0" fontId="25" fillId="14" borderId="28" xfId="4" applyFont="1" applyBorder="1"/>
    <xf numFmtId="0" fontId="25" fillId="14" borderId="21" xfId="4" applyFont="1" applyBorder="1"/>
    <xf numFmtId="0" fontId="25" fillId="14" borderId="29" xfId="4" applyFont="1" applyBorder="1"/>
    <xf numFmtId="0" fontId="25" fillId="14" borderId="30" xfId="4" applyFont="1" applyBorder="1"/>
    <xf numFmtId="0" fontId="26" fillId="14" borderId="31" xfId="4" applyFont="1" applyBorder="1"/>
    <xf numFmtId="0" fontId="25" fillId="14" borderId="31" xfId="4" applyFont="1" applyBorder="1"/>
    <xf numFmtId="0" fontId="28" fillId="14" borderId="0" xfId="4" applyFont="1"/>
    <xf numFmtId="0" fontId="29" fillId="14" borderId="32" xfId="4" applyFont="1" applyBorder="1" applyAlignment="1">
      <alignment horizontal="right"/>
    </xf>
    <xf numFmtId="0" fontId="29" fillId="14" borderId="37" xfId="4" applyFont="1" applyBorder="1" applyAlignment="1">
      <alignment horizontal="left"/>
    </xf>
    <xf numFmtId="0" fontId="29" fillId="14" borderId="36" xfId="4" applyFont="1" applyBorder="1" applyAlignment="1">
      <alignment horizontal="right"/>
    </xf>
    <xf numFmtId="0" fontId="29" fillId="14" borderId="37" xfId="4" applyFont="1" applyBorder="1"/>
    <xf numFmtId="0" fontId="25" fillId="14" borderId="35" xfId="4" applyFont="1" applyBorder="1"/>
    <xf numFmtId="0" fontId="28" fillId="16" borderId="33" xfId="4" applyFont="1" applyFill="1" applyBorder="1"/>
    <xf numFmtId="0" fontId="28" fillId="16" borderId="0" xfId="4" applyFont="1" applyFill="1"/>
    <xf numFmtId="0" fontId="25" fillId="14" borderId="33" xfId="4" applyFont="1" applyBorder="1"/>
    <xf numFmtId="0" fontId="25" fillId="16" borderId="0" xfId="4" applyFont="1" applyFill="1"/>
    <xf numFmtId="0" fontId="25" fillId="16" borderId="21" xfId="4" applyFont="1" applyFill="1" applyBorder="1" applyAlignment="1">
      <alignment horizontal="left" indent="1"/>
    </xf>
    <xf numFmtId="0" fontId="25" fillId="16" borderId="21" xfId="4" applyFont="1" applyFill="1" applyBorder="1"/>
    <xf numFmtId="0" fontId="28" fillId="16" borderId="0" xfId="4" applyFont="1" applyFill="1" applyAlignment="1">
      <alignment horizontal="left" indent="1"/>
    </xf>
    <xf numFmtId="0" fontId="25" fillId="14" borderId="21" xfId="4" applyFont="1" applyBorder="1" applyAlignment="1">
      <alignment horizontal="left" indent="1"/>
    </xf>
    <xf numFmtId="0" fontId="28" fillId="14" borderId="0" xfId="4" applyFont="1" applyAlignment="1">
      <alignment horizontal="left" indent="1"/>
    </xf>
    <xf numFmtId="0" fontId="31" fillId="16" borderId="0" xfId="4" applyFont="1" applyFill="1" applyAlignment="1">
      <alignment horizontal="right"/>
    </xf>
    <xf numFmtId="0" fontId="25" fillId="16" borderId="0" xfId="4" applyFont="1" applyFill="1" applyAlignment="1">
      <alignment horizontal="left" indent="1"/>
    </xf>
    <xf numFmtId="0" fontId="33" fillId="0" borderId="0" xfId="0" applyFont="1" applyAlignment="1">
      <alignment horizontal="left" vertical="center"/>
    </xf>
    <xf numFmtId="0" fontId="34" fillId="0" borderId="0" xfId="0" applyFont="1" applyAlignment="1">
      <alignment horizontal="left" vertical="center"/>
    </xf>
    <xf numFmtId="0" fontId="36" fillId="0" borderId="0" xfId="0" applyFont="1" applyAlignment="1">
      <alignment vertical="center"/>
    </xf>
    <xf numFmtId="0" fontId="36" fillId="0" borderId="0" xfId="0" applyFont="1"/>
    <xf numFmtId="0" fontId="37" fillId="17" borderId="40" xfId="0" applyFont="1" applyFill="1" applyBorder="1" applyAlignment="1">
      <alignment horizontal="justify" vertical="center" wrapText="1"/>
    </xf>
    <xf numFmtId="0" fontId="38" fillId="17" borderId="41" xfId="0" applyFont="1" applyFill="1" applyBorder="1" applyAlignment="1">
      <alignment horizontal="justify" vertical="center" wrapText="1"/>
    </xf>
    <xf numFmtId="0" fontId="34" fillId="0" borderId="42" xfId="0" applyFont="1" applyBorder="1" applyAlignment="1">
      <alignment horizontal="justify" vertical="center" wrapText="1"/>
    </xf>
    <xf numFmtId="0" fontId="39" fillId="0" borderId="43" xfId="0" applyFont="1" applyBorder="1" applyAlignment="1">
      <alignment horizontal="left" vertical="center" wrapText="1"/>
    </xf>
    <xf numFmtId="0" fontId="39" fillId="0" borderId="43" xfId="0" applyFont="1" applyBorder="1" applyAlignment="1">
      <alignment horizontal="justify" vertical="center" wrapText="1"/>
    </xf>
    <xf numFmtId="0" fontId="38" fillId="17" borderId="40" xfId="0" applyFont="1" applyFill="1" applyBorder="1" applyAlignment="1">
      <alignment horizontal="justify" vertical="center" wrapText="1"/>
    </xf>
    <xf numFmtId="0" fontId="39" fillId="0" borderId="42" xfId="0" applyFont="1" applyBorder="1" applyAlignment="1">
      <alignment horizontal="left" vertical="center" wrapText="1"/>
    </xf>
    <xf numFmtId="0" fontId="34" fillId="0" borderId="42" xfId="0" applyFont="1" applyBorder="1" applyAlignment="1">
      <alignment horizontal="left" vertical="center" wrapText="1"/>
    </xf>
    <xf numFmtId="0" fontId="34" fillId="0" borderId="43" xfId="0" applyFont="1" applyBorder="1" applyAlignment="1">
      <alignment horizontal="left" vertical="center" wrapText="1"/>
    </xf>
    <xf numFmtId="0" fontId="35" fillId="0" borderId="0" xfId="0" applyFont="1"/>
    <xf numFmtId="0" fontId="34" fillId="0" borderId="44" xfId="0" applyFont="1" applyBorder="1" applyAlignment="1">
      <alignment horizontal="left" vertical="center" wrapText="1"/>
    </xf>
    <xf numFmtId="0" fontId="34" fillId="0" borderId="42" xfId="0" applyFont="1" applyBorder="1" applyAlignment="1">
      <alignment vertical="center" wrapText="1"/>
    </xf>
    <xf numFmtId="0" fontId="0" fillId="0" borderId="0" xfId="0" applyAlignment="1">
      <alignment vertical="center" wrapText="1"/>
    </xf>
    <xf numFmtId="0" fontId="39" fillId="0" borderId="44" xfId="0" applyFont="1" applyBorder="1" applyAlignment="1">
      <alignment horizontal="left" vertical="center" wrapText="1"/>
    </xf>
    <xf numFmtId="0" fontId="41" fillId="0" borderId="42" xfId="0" applyFont="1" applyBorder="1" applyAlignment="1">
      <alignment horizontal="left" vertical="center" wrapText="1"/>
    </xf>
    <xf numFmtId="0" fontId="32" fillId="0" borderId="0" xfId="0" applyFont="1" applyAlignment="1">
      <alignment horizontal="justify" vertical="center"/>
    </xf>
    <xf numFmtId="0" fontId="42" fillId="18" borderId="6" xfId="0" applyFont="1" applyFill="1" applyBorder="1" applyAlignment="1">
      <alignment horizontal="center" vertical="center" wrapText="1"/>
    </xf>
    <xf numFmtId="0" fontId="42" fillId="18" borderId="5" xfId="0" applyFont="1" applyFill="1" applyBorder="1" applyAlignment="1">
      <alignment horizontal="center" vertical="center"/>
    </xf>
    <xf numFmtId="0" fontId="42" fillId="18" borderId="5" xfId="0" applyFont="1" applyFill="1" applyBorder="1" applyAlignment="1">
      <alignment horizontal="center" vertical="center" wrapText="1"/>
    </xf>
    <xf numFmtId="0" fontId="43" fillId="0" borderId="46" xfId="0" applyFont="1" applyBorder="1" applyAlignment="1">
      <alignment horizontal="right" vertical="center"/>
    </xf>
    <xf numFmtId="0" fontId="43" fillId="0" borderId="47" xfId="0" applyFont="1" applyBorder="1" applyAlignment="1">
      <alignment horizontal="left" vertical="center"/>
    </xf>
    <xf numFmtId="14" fontId="43" fillId="0" borderId="47" xfId="0" applyNumberFormat="1" applyFont="1" applyBorder="1" applyAlignment="1">
      <alignment horizontal="right" vertical="center"/>
    </xf>
    <xf numFmtId="0" fontId="42" fillId="0" borderId="47" xfId="0" applyFont="1" applyBorder="1" applyAlignment="1">
      <alignment horizontal="left" vertical="center"/>
    </xf>
    <xf numFmtId="0" fontId="44" fillId="19" borderId="47" xfId="0" applyFont="1" applyFill="1" applyBorder="1" applyAlignment="1">
      <alignment horizontal="left" vertical="center"/>
    </xf>
    <xf numFmtId="0" fontId="45" fillId="20" borderId="47" xfId="0" applyFont="1" applyFill="1" applyBorder="1" applyAlignment="1">
      <alignment horizontal="left" vertical="center"/>
    </xf>
    <xf numFmtId="0" fontId="43" fillId="0" borderId="47" xfId="0" applyFont="1" applyBorder="1" applyAlignment="1">
      <alignment horizontal="right" vertical="center"/>
    </xf>
    <xf numFmtId="0" fontId="46" fillId="21" borderId="47" xfId="0" applyFont="1" applyFill="1" applyBorder="1" applyAlignment="1">
      <alignment horizontal="left" vertical="center"/>
    </xf>
    <xf numFmtId="0" fontId="47" fillId="0" borderId="47" xfId="0" applyFont="1" applyBorder="1" applyAlignment="1">
      <alignment horizontal="left" vertical="center"/>
    </xf>
    <xf numFmtId="0" fontId="0" fillId="22" borderId="0" xfId="0" applyFill="1"/>
    <xf numFmtId="0" fontId="48" fillId="22" borderId="0" xfId="0" applyFont="1" applyFill="1"/>
    <xf numFmtId="0" fontId="0" fillId="7" borderId="48" xfId="0" applyFill="1" applyBorder="1"/>
    <xf numFmtId="0" fontId="0" fillId="22" borderId="48" xfId="0" applyFill="1" applyBorder="1"/>
    <xf numFmtId="0" fontId="20" fillId="0" borderId="15" xfId="0" applyFont="1" applyBorder="1"/>
    <xf numFmtId="0" fontId="0" fillId="0" borderId="56" xfId="0" applyBorder="1"/>
    <xf numFmtId="0" fontId="0" fillId="0" borderId="57" xfId="0" applyBorder="1"/>
    <xf numFmtId="0" fontId="0" fillId="0" borderId="50" xfId="0" applyBorder="1"/>
    <xf numFmtId="0" fontId="0" fillId="0" borderId="51" xfId="0" applyBorder="1"/>
    <xf numFmtId="0" fontId="0" fillId="0" borderId="52" xfId="0" applyBorder="1"/>
    <xf numFmtId="0" fontId="0" fillId="0" borderId="15" xfId="0" applyBorder="1"/>
    <xf numFmtId="0" fontId="20" fillId="0" borderId="0" xfId="0" applyFont="1"/>
    <xf numFmtId="0" fontId="55" fillId="28" borderId="0" xfId="5" applyFont="1" applyFill="1" applyAlignment="1">
      <alignment horizontal="center" vertical="center" wrapText="1"/>
    </xf>
    <xf numFmtId="15" fontId="55" fillId="28" borderId="0" xfId="5" applyNumberFormat="1" applyFont="1" applyFill="1" applyAlignment="1">
      <alignment horizontal="center" vertical="center" wrapText="1"/>
    </xf>
    <xf numFmtId="0" fontId="57" fillId="30" borderId="55" xfId="0" applyFont="1" applyFill="1" applyBorder="1" applyAlignment="1">
      <alignment horizontal="center" wrapText="1"/>
    </xf>
    <xf numFmtId="0" fontId="20" fillId="0" borderId="48" xfId="0" applyFont="1" applyBorder="1" applyAlignment="1">
      <alignment horizontal="left" vertical="center" wrapText="1"/>
    </xf>
    <xf numFmtId="0" fontId="0" fillId="0" borderId="48" xfId="0" applyBorder="1" applyAlignment="1">
      <alignment wrapText="1"/>
    </xf>
    <xf numFmtId="0" fontId="0" fillId="22" borderId="48" xfId="0" applyFill="1" applyBorder="1" applyAlignment="1">
      <alignment wrapText="1"/>
    </xf>
    <xf numFmtId="0" fontId="0" fillId="0" borderId="48" xfId="0" quotePrefix="1" applyBorder="1" applyAlignment="1">
      <alignment wrapText="1"/>
    </xf>
    <xf numFmtId="0" fontId="0" fillId="0" borderId="48" xfId="0" applyBorder="1" applyAlignment="1">
      <alignment vertical="center" wrapText="1"/>
    </xf>
    <xf numFmtId="0" fontId="20" fillId="0" borderId="48" xfId="0" applyFont="1" applyBorder="1" applyAlignment="1">
      <alignment horizontal="left" vertical="center"/>
    </xf>
    <xf numFmtId="0" fontId="61" fillId="0" borderId="48" xfId="0" applyFont="1" applyBorder="1" applyAlignment="1">
      <alignment horizontal="left" vertical="center" wrapText="1"/>
    </xf>
    <xf numFmtId="0" fontId="62" fillId="0" borderId="48" xfId="0" applyFont="1" applyBorder="1" applyAlignment="1">
      <alignment wrapText="1"/>
    </xf>
    <xf numFmtId="0" fontId="53" fillId="0" borderId="0" xfId="0" applyFont="1"/>
    <xf numFmtId="0" fontId="61" fillId="0" borderId="48" xfId="0" applyFont="1" applyBorder="1" applyAlignment="1">
      <alignment horizontal="left" vertical="center"/>
    </xf>
    <xf numFmtId="0" fontId="62" fillId="22" borderId="48" xfId="0" applyFont="1" applyFill="1" applyBorder="1"/>
    <xf numFmtId="0" fontId="66" fillId="7" borderId="48" xfId="0" applyFont="1" applyFill="1" applyBorder="1" applyAlignment="1">
      <alignment horizontal="center" vertical="center" wrapText="1"/>
    </xf>
    <xf numFmtId="0" fontId="67" fillId="0" borderId="48" xfId="0" applyFont="1" applyBorder="1" applyAlignment="1">
      <alignment horizontal="center" vertical="center"/>
    </xf>
    <xf numFmtId="0" fontId="67" fillId="0" borderId="48" xfId="0" applyFont="1" applyBorder="1" applyAlignment="1">
      <alignment horizontal="left" vertical="center" wrapText="1"/>
    </xf>
    <xf numFmtId="14" fontId="67" fillId="0" borderId="48" xfId="0" applyNumberFormat="1" applyFont="1" applyBorder="1" applyAlignment="1">
      <alignment horizontal="center" vertical="center"/>
    </xf>
    <xf numFmtId="0" fontId="67" fillId="0" borderId="48" xfId="0" quotePrefix="1" applyFont="1" applyBorder="1" applyAlignment="1">
      <alignment horizontal="left" vertical="center" wrapText="1"/>
    </xf>
    <xf numFmtId="166" fontId="13" fillId="0" borderId="0" xfId="1" applyNumberFormat="1" applyFont="1" applyAlignment="1" applyProtection="1">
      <alignment horizontal="center"/>
    </xf>
    <xf numFmtId="166" fontId="14" fillId="6" borderId="3" xfId="1" applyNumberFormat="1" applyFont="1" applyFill="1" applyBorder="1" applyAlignment="1" applyProtection="1">
      <alignment horizontal="center"/>
      <protection locked="0"/>
    </xf>
    <xf numFmtId="166" fontId="14" fillId="6" borderId="4" xfId="1" applyNumberFormat="1" applyFont="1" applyFill="1" applyBorder="1" applyAlignment="1" applyProtection="1">
      <alignment horizontal="center"/>
      <protection locked="0"/>
    </xf>
    <xf numFmtId="166" fontId="14" fillId="6" borderId="5" xfId="1" applyNumberFormat="1" applyFont="1" applyFill="1" applyBorder="1" applyAlignment="1" applyProtection="1">
      <alignment horizontal="center"/>
      <protection locked="0"/>
    </xf>
    <xf numFmtId="0" fontId="34" fillId="0" borderId="45" xfId="0" applyFont="1" applyBorder="1" applyAlignment="1">
      <alignment horizontal="left" vertical="center" wrapText="1"/>
    </xf>
    <xf numFmtId="0" fontId="34" fillId="0" borderId="44" xfId="0" applyFont="1" applyBorder="1" applyAlignment="1">
      <alignment horizontal="left" vertical="center" wrapText="1"/>
    </xf>
    <xf numFmtId="0" fontId="34" fillId="0" borderId="42" xfId="0" applyFont="1" applyBorder="1" applyAlignment="1">
      <alignment horizontal="left" vertical="center" wrapText="1"/>
    </xf>
    <xf numFmtId="0" fontId="34" fillId="0" borderId="45" xfId="0" applyFont="1" applyBorder="1" applyAlignment="1">
      <alignment horizontal="justify" vertical="center" wrapText="1"/>
    </xf>
    <xf numFmtId="0" fontId="34" fillId="0" borderId="44" xfId="0" applyFont="1" applyBorder="1" applyAlignment="1">
      <alignment horizontal="justify" vertical="center" wrapText="1"/>
    </xf>
    <xf numFmtId="0" fontId="34" fillId="0" borderId="42" xfId="0" applyFont="1" applyBorder="1" applyAlignment="1">
      <alignment horizontal="justify" vertical="center" wrapText="1"/>
    </xf>
    <xf numFmtId="0" fontId="34" fillId="0" borderId="45" xfId="0" applyFont="1" applyBorder="1" applyAlignment="1">
      <alignment vertical="center" wrapText="1"/>
    </xf>
    <xf numFmtId="0" fontId="34" fillId="0" borderId="44" xfId="0" applyFont="1" applyBorder="1" applyAlignment="1">
      <alignment vertical="center" wrapText="1"/>
    </xf>
    <xf numFmtId="0" fontId="34" fillId="0" borderId="42" xfId="0" applyFont="1" applyBorder="1" applyAlignment="1">
      <alignment vertical="center" wrapText="1"/>
    </xf>
    <xf numFmtId="0" fontId="40" fillId="0" borderId="45" xfId="0" applyFont="1" applyBorder="1" applyAlignment="1">
      <alignment horizontal="justify" vertical="center" wrapText="1"/>
    </xf>
    <xf numFmtId="0" fontId="40" fillId="0" borderId="44" xfId="0" applyFont="1" applyBorder="1" applyAlignment="1">
      <alignment horizontal="justify" vertical="center" wrapText="1"/>
    </xf>
    <xf numFmtId="0" fontId="40" fillId="0" borderId="42" xfId="0" applyFont="1" applyBorder="1" applyAlignment="1">
      <alignment horizontal="justify" vertical="center" wrapText="1"/>
    </xf>
    <xf numFmtId="0" fontId="2" fillId="6" borderId="1" xfId="0" applyFont="1" applyFill="1" applyBorder="1" applyAlignment="1">
      <alignment horizontal="center"/>
    </xf>
    <xf numFmtId="0" fontId="0" fillId="6" borderId="1" xfId="0" applyFill="1" applyBorder="1"/>
    <xf numFmtId="0" fontId="3" fillId="0" borderId="1" xfId="0" applyFont="1" applyBorder="1"/>
    <xf numFmtId="0" fontId="0" fillId="0" borderId="1" xfId="0" applyBorder="1"/>
    <xf numFmtId="0" fontId="52" fillId="6" borderId="1" xfId="0" applyFont="1" applyFill="1" applyBorder="1" applyAlignment="1">
      <alignment horizontal="center"/>
    </xf>
    <xf numFmtId="0" fontId="22" fillId="12" borderId="0" xfId="3" applyFont="1" applyFill="1" applyAlignment="1">
      <alignment horizontal="left"/>
    </xf>
    <xf numFmtId="0" fontId="17" fillId="12" borderId="0" xfId="3" applyFont="1" applyFill="1" applyAlignment="1">
      <alignment horizontal="left"/>
    </xf>
    <xf numFmtId="0" fontId="17" fillId="13" borderId="18" xfId="3" applyFont="1" applyFill="1" applyBorder="1" applyAlignment="1">
      <alignment horizontal="center" vertical="center" wrapText="1"/>
    </xf>
    <xf numFmtId="0" fontId="17" fillId="13" borderId="19" xfId="3" applyFont="1" applyFill="1" applyBorder="1" applyAlignment="1">
      <alignment horizontal="center" vertical="center" wrapText="1"/>
    </xf>
    <xf numFmtId="0" fontId="17" fillId="13" borderId="20" xfId="3" applyFont="1" applyFill="1" applyBorder="1" applyAlignment="1">
      <alignment horizontal="center" vertical="center" wrapText="1"/>
    </xf>
    <xf numFmtId="0" fontId="25" fillId="14" borderId="21" xfId="4" applyFont="1" applyBorder="1" applyAlignment="1">
      <alignment horizontal="left"/>
    </xf>
    <xf numFmtId="0" fontId="24" fillId="15" borderId="0" xfId="4" applyFont="1" applyFill="1" applyAlignment="1">
      <alignment horizontal="left" vertical="center"/>
    </xf>
    <xf numFmtId="0" fontId="25" fillId="14" borderId="32" xfId="4" applyFont="1" applyBorder="1" applyAlignment="1">
      <alignment horizontal="left"/>
    </xf>
    <xf numFmtId="0" fontId="27" fillId="14" borderId="33" xfId="4" applyFont="1" applyBorder="1" applyAlignment="1">
      <alignment horizontal="left" vertical="top"/>
    </xf>
    <xf numFmtId="0" fontId="27" fillId="14" borderId="34" xfId="4" applyFont="1" applyBorder="1" applyAlignment="1">
      <alignment horizontal="left" vertical="top"/>
    </xf>
    <xf numFmtId="0" fontId="27" fillId="14" borderId="35" xfId="4" applyFont="1" applyBorder="1" applyAlignment="1">
      <alignment horizontal="left" vertical="top"/>
    </xf>
    <xf numFmtId="0" fontId="25" fillId="14" borderId="33" xfId="4" applyFont="1" applyBorder="1" applyAlignment="1">
      <alignment horizontal="left" vertical="top"/>
    </xf>
    <xf numFmtId="0" fontId="25" fillId="14" borderId="34" xfId="4" applyFont="1" applyBorder="1" applyAlignment="1">
      <alignment horizontal="left" vertical="top"/>
    </xf>
    <xf numFmtId="0" fontId="25" fillId="14" borderId="35" xfId="4" applyFont="1" applyBorder="1" applyAlignment="1">
      <alignment horizontal="left" vertical="top"/>
    </xf>
    <xf numFmtId="0" fontId="29" fillId="14" borderId="36" xfId="4" applyFont="1" applyBorder="1" applyAlignment="1">
      <alignment horizontal="left"/>
    </xf>
    <xf numFmtId="0" fontId="29" fillId="14" borderId="32" xfId="4" applyFont="1" applyBorder="1" applyAlignment="1">
      <alignment horizontal="left"/>
    </xf>
    <xf numFmtId="0" fontId="29" fillId="14" borderId="32" xfId="4" applyFont="1" applyBorder="1" applyAlignment="1">
      <alignment horizontal="right"/>
    </xf>
    <xf numFmtId="0" fontId="25" fillId="14" borderId="0" xfId="4" applyFont="1" applyAlignment="1">
      <alignment horizontal="left"/>
    </xf>
    <xf numFmtId="0" fontId="25" fillId="14" borderId="30" xfId="4" applyFont="1" applyBorder="1" applyAlignment="1">
      <alignment horizontal="left"/>
    </xf>
    <xf numFmtId="0" fontId="30" fillId="14" borderId="35" xfId="4" applyFont="1" applyBorder="1" applyAlignment="1">
      <alignment horizontal="left" vertical="center" wrapText="1"/>
    </xf>
    <xf numFmtId="0" fontId="30" fillId="14" borderId="33" xfId="4" applyFont="1" applyBorder="1" applyAlignment="1">
      <alignment horizontal="left" vertical="center" wrapText="1"/>
    </xf>
    <xf numFmtId="0" fontId="30" fillId="14" borderId="34" xfId="4" applyFont="1" applyBorder="1" applyAlignment="1">
      <alignment horizontal="left" vertical="center" wrapText="1"/>
    </xf>
    <xf numFmtId="0" fontId="30" fillId="14" borderId="38" xfId="4" applyFont="1" applyBorder="1" applyAlignment="1">
      <alignment horizontal="left" vertical="center" wrapText="1"/>
    </xf>
    <xf numFmtId="0" fontId="30" fillId="14" borderId="30" xfId="4" applyFont="1" applyBorder="1" applyAlignment="1">
      <alignment horizontal="left" vertical="center" wrapText="1"/>
    </xf>
    <xf numFmtId="0" fontId="30" fillId="14" borderId="39" xfId="4" applyFont="1" applyBorder="1" applyAlignment="1">
      <alignment horizontal="left" vertical="center" wrapText="1"/>
    </xf>
    <xf numFmtId="0" fontId="56" fillId="29" borderId="3" xfId="0" applyFont="1" applyFill="1" applyBorder="1" applyAlignment="1">
      <alignment horizontal="center"/>
    </xf>
    <xf numFmtId="0" fontId="56" fillId="29" borderId="4" xfId="0" applyFont="1" applyFill="1" applyBorder="1" applyAlignment="1">
      <alignment horizontal="center"/>
    </xf>
    <xf numFmtId="0" fontId="56" fillId="29" borderId="5" xfId="0" applyFont="1" applyFill="1" applyBorder="1" applyAlignment="1">
      <alignment horizontal="center"/>
    </xf>
    <xf numFmtId="0" fontId="57" fillId="0" borderId="53" xfId="0" applyFont="1" applyBorder="1" applyAlignment="1">
      <alignment horizontal="center" vertical="center" wrapText="1"/>
    </xf>
    <xf numFmtId="0" fontId="57" fillId="0" borderId="54" xfId="0" applyFont="1" applyBorder="1" applyAlignment="1">
      <alignment horizontal="center" vertical="center" wrapText="1"/>
    </xf>
    <xf numFmtId="0" fontId="57" fillId="0" borderId="55" xfId="0" applyFont="1" applyBorder="1" applyAlignment="1">
      <alignment horizontal="center" vertical="center" wrapText="1"/>
    </xf>
    <xf numFmtId="0" fontId="57" fillId="0" borderId="48" xfId="0" applyFont="1" applyBorder="1" applyAlignment="1">
      <alignment horizontal="center" vertical="center" wrapText="1"/>
    </xf>
    <xf numFmtId="0" fontId="20" fillId="0" borderId="48" xfId="0" applyFont="1" applyBorder="1" applyAlignment="1">
      <alignment horizontal="center" vertical="center"/>
    </xf>
    <xf numFmtId="0" fontId="63" fillId="0" borderId="48" xfId="0" applyFont="1" applyBorder="1" applyAlignment="1">
      <alignment horizontal="center" vertical="center" wrapText="1"/>
    </xf>
    <xf numFmtId="0" fontId="63" fillId="0" borderId="48" xfId="0" applyFont="1" applyBorder="1" applyAlignment="1">
      <alignment horizontal="center" vertical="center"/>
    </xf>
    <xf numFmtId="0" fontId="0" fillId="7" borderId="48" xfId="0" applyFill="1" applyBorder="1" applyAlignment="1">
      <alignment horizontal="center"/>
    </xf>
    <xf numFmtId="0" fontId="0" fillId="22" borderId="48" xfId="0" applyFill="1" applyBorder="1" applyAlignment="1">
      <alignment horizontal="center"/>
    </xf>
    <xf numFmtId="0" fontId="48" fillId="22" borderId="13" xfId="0" applyFont="1" applyFill="1" applyBorder="1" applyAlignment="1">
      <alignment horizontal="center" vertical="center"/>
    </xf>
    <xf numFmtId="0" fontId="48" fillId="22" borderId="14" xfId="0" applyFont="1" applyFill="1" applyBorder="1" applyAlignment="1">
      <alignment horizontal="center" vertical="center"/>
    </xf>
    <xf numFmtId="0" fontId="48" fillId="22" borderId="49" xfId="0" applyFont="1" applyFill="1" applyBorder="1" applyAlignment="1">
      <alignment horizontal="center" vertical="center"/>
    </xf>
    <xf numFmtId="0" fontId="48" fillId="22" borderId="11" xfId="0" applyFont="1" applyFill="1" applyBorder="1" applyAlignment="1">
      <alignment horizontal="center" vertical="center"/>
    </xf>
    <xf numFmtId="0" fontId="48" fillId="22" borderId="50" xfId="0" applyFont="1" applyFill="1" applyBorder="1" applyAlignment="1">
      <alignment horizontal="center" vertical="center"/>
    </xf>
    <xf numFmtId="0" fontId="48" fillId="22" borderId="52" xfId="0" applyFont="1" applyFill="1" applyBorder="1" applyAlignment="1">
      <alignment horizontal="center" vertical="center"/>
    </xf>
    <xf numFmtId="0" fontId="49" fillId="23" borderId="13" xfId="0" applyFont="1" applyFill="1" applyBorder="1" applyAlignment="1">
      <alignment horizontal="center" vertical="center"/>
    </xf>
    <xf numFmtId="0" fontId="48" fillId="23" borderId="8" xfId="0" applyFont="1" applyFill="1" applyBorder="1" applyAlignment="1">
      <alignment horizontal="center" vertical="center"/>
    </xf>
    <xf numFmtId="0" fontId="48" fillId="23" borderId="14" xfId="0" applyFont="1" applyFill="1" applyBorder="1" applyAlignment="1">
      <alignment horizontal="center" vertical="center"/>
    </xf>
    <xf numFmtId="0" fontId="48" fillId="23" borderId="50" xfId="0" applyFont="1" applyFill="1" applyBorder="1" applyAlignment="1">
      <alignment horizontal="center" vertical="center"/>
    </xf>
    <xf numFmtId="0" fontId="48" fillId="23" borderId="51" xfId="0" applyFont="1" applyFill="1" applyBorder="1" applyAlignment="1">
      <alignment horizontal="center" vertical="center"/>
    </xf>
    <xf numFmtId="0" fontId="48" fillId="23" borderId="52" xfId="0" applyFont="1" applyFill="1" applyBorder="1" applyAlignment="1">
      <alignment horizontal="center" vertical="center"/>
    </xf>
    <xf numFmtId="0" fontId="0" fillId="7" borderId="13" xfId="0" applyFill="1" applyBorder="1" applyAlignment="1">
      <alignment horizontal="center" vertical="center"/>
    </xf>
    <xf numFmtId="0" fontId="0" fillId="7" borderId="14" xfId="0" applyFill="1" applyBorder="1" applyAlignment="1">
      <alignment horizontal="center" vertical="center"/>
    </xf>
    <xf numFmtId="0" fontId="0" fillId="7" borderId="50" xfId="0" applyFill="1" applyBorder="1" applyAlignment="1">
      <alignment horizontal="center" vertical="center"/>
    </xf>
    <xf numFmtId="0" fontId="0" fillId="7" borderId="52" xfId="0" applyFill="1" applyBorder="1" applyAlignment="1">
      <alignment horizontal="center" vertical="center"/>
    </xf>
    <xf numFmtId="0" fontId="50" fillId="7" borderId="13" xfId="0" applyFont="1" applyFill="1" applyBorder="1" applyAlignment="1">
      <alignment horizontal="center" vertical="center"/>
    </xf>
    <xf numFmtId="0" fontId="48" fillId="7" borderId="14" xfId="0" applyFont="1" applyFill="1" applyBorder="1" applyAlignment="1">
      <alignment horizontal="center" vertical="center"/>
    </xf>
    <xf numFmtId="0" fontId="48" fillId="7" borderId="50" xfId="0" applyFont="1" applyFill="1" applyBorder="1" applyAlignment="1">
      <alignment horizontal="center" vertical="center"/>
    </xf>
    <xf numFmtId="0" fontId="48" fillId="7" borderId="52" xfId="0" applyFont="1" applyFill="1" applyBorder="1" applyAlignment="1">
      <alignment horizontal="center" vertical="center"/>
    </xf>
    <xf numFmtId="0" fontId="49" fillId="23" borderId="53" xfId="0" applyFont="1" applyFill="1" applyBorder="1" applyAlignment="1">
      <alignment horizontal="center" vertical="center" textRotation="90"/>
    </xf>
    <xf numFmtId="0" fontId="51" fillId="23" borderId="54" xfId="0" applyFont="1" applyFill="1" applyBorder="1" applyAlignment="1">
      <alignment horizontal="center" vertical="center" textRotation="90"/>
    </xf>
    <xf numFmtId="0" fontId="51" fillId="23" borderId="55" xfId="0" applyFont="1" applyFill="1" applyBorder="1" applyAlignment="1">
      <alignment horizontal="center" vertical="center" textRotation="90"/>
    </xf>
    <xf numFmtId="0" fontId="0" fillId="7" borderId="53" xfId="0" applyFill="1" applyBorder="1" applyAlignment="1">
      <alignment horizontal="center" vertical="center" textRotation="90"/>
    </xf>
    <xf numFmtId="0" fontId="0" fillId="7" borderId="54" xfId="0" applyFill="1" applyBorder="1" applyAlignment="1">
      <alignment horizontal="center" vertical="center" textRotation="90"/>
    </xf>
    <xf numFmtId="0" fontId="0" fillId="7" borderId="55" xfId="0" applyFill="1" applyBorder="1" applyAlignment="1">
      <alignment horizontal="center" vertical="center" textRotation="90"/>
    </xf>
    <xf numFmtId="0" fontId="0" fillId="6" borderId="13" xfId="0" applyFill="1" applyBorder="1" applyAlignment="1">
      <alignment horizontal="center" vertical="center"/>
    </xf>
    <xf numFmtId="0" fontId="0" fillId="6" borderId="14" xfId="0" applyFill="1" applyBorder="1" applyAlignment="1">
      <alignment horizontal="center" vertical="center"/>
    </xf>
    <xf numFmtId="0" fontId="0" fillId="6" borderId="49" xfId="0" applyFill="1" applyBorder="1" applyAlignment="1">
      <alignment horizontal="center" vertical="center"/>
    </xf>
    <xf numFmtId="0" fontId="0" fillId="6" borderId="11" xfId="0" applyFill="1" applyBorder="1" applyAlignment="1">
      <alignment horizontal="center" vertical="center"/>
    </xf>
    <xf numFmtId="0" fontId="0" fillId="6" borderId="50" xfId="0" applyFill="1" applyBorder="1" applyAlignment="1">
      <alignment horizontal="center" vertical="center"/>
    </xf>
    <xf numFmtId="0" fontId="0" fillId="6" borderId="52" xfId="0" applyFill="1" applyBorder="1" applyAlignment="1">
      <alignment horizontal="center" vertical="center"/>
    </xf>
    <xf numFmtId="0" fontId="0" fillId="24" borderId="13" xfId="0" applyFill="1" applyBorder="1" applyAlignment="1">
      <alignment horizontal="center" vertical="center"/>
    </xf>
    <xf numFmtId="0" fontId="0" fillId="24" borderId="14" xfId="0" applyFill="1" applyBorder="1" applyAlignment="1">
      <alignment horizontal="center" vertical="center"/>
    </xf>
    <xf numFmtId="0" fontId="0" fillId="24" borderId="49" xfId="0" applyFill="1" applyBorder="1" applyAlignment="1">
      <alignment horizontal="center" vertical="center"/>
    </xf>
    <xf numFmtId="0" fontId="0" fillId="24" borderId="11" xfId="0" applyFill="1" applyBorder="1" applyAlignment="1">
      <alignment horizontal="center" vertical="center"/>
    </xf>
    <xf numFmtId="0" fontId="0" fillId="24" borderId="50" xfId="0" applyFill="1" applyBorder="1" applyAlignment="1">
      <alignment horizontal="center" vertical="center"/>
    </xf>
    <xf numFmtId="0" fontId="0" fillId="24" borderId="52" xfId="0" applyFill="1" applyBorder="1" applyAlignment="1">
      <alignment horizontal="center" vertical="center"/>
    </xf>
    <xf numFmtId="0" fontId="0" fillId="25" borderId="13" xfId="0" applyFill="1" applyBorder="1" applyAlignment="1">
      <alignment horizontal="center" vertical="center"/>
    </xf>
    <xf numFmtId="0" fontId="0" fillId="25" borderId="14" xfId="0" applyFill="1" applyBorder="1" applyAlignment="1">
      <alignment horizontal="center" vertical="center"/>
    </xf>
    <xf numFmtId="0" fontId="0" fillId="25" borderId="49" xfId="0" applyFill="1" applyBorder="1" applyAlignment="1">
      <alignment horizontal="center" vertical="center"/>
    </xf>
    <xf numFmtId="0" fontId="0" fillId="25" borderId="11" xfId="0" applyFill="1" applyBorder="1" applyAlignment="1">
      <alignment horizontal="center" vertical="center"/>
    </xf>
    <xf numFmtId="0" fontId="0" fillId="25" borderId="50" xfId="0" applyFill="1" applyBorder="1" applyAlignment="1">
      <alignment horizontal="center" vertical="center"/>
    </xf>
    <xf numFmtId="0" fontId="0" fillId="25" borderId="52" xfId="0" applyFill="1" applyBorder="1" applyAlignment="1">
      <alignment horizontal="center" vertical="center"/>
    </xf>
    <xf numFmtId="0" fontId="0" fillId="26" borderId="13" xfId="0" applyFill="1" applyBorder="1" applyAlignment="1">
      <alignment horizontal="center" vertical="center"/>
    </xf>
    <xf numFmtId="0" fontId="0" fillId="26" borderId="14" xfId="0" applyFill="1" applyBorder="1" applyAlignment="1">
      <alignment horizontal="center" vertical="center"/>
    </xf>
    <xf numFmtId="0" fontId="0" fillId="26" borderId="49" xfId="0" applyFill="1" applyBorder="1" applyAlignment="1">
      <alignment horizontal="center" vertical="center"/>
    </xf>
    <xf numFmtId="0" fontId="0" fillId="26" borderId="11" xfId="0" applyFill="1" applyBorder="1" applyAlignment="1">
      <alignment horizontal="center" vertical="center"/>
    </xf>
    <xf numFmtId="0" fontId="0" fillId="26" borderId="50" xfId="0" applyFill="1" applyBorder="1" applyAlignment="1">
      <alignment horizontal="center" vertical="center"/>
    </xf>
    <xf numFmtId="0" fontId="0" fillId="26" borderId="52" xfId="0" applyFill="1" applyBorder="1" applyAlignment="1">
      <alignment horizontal="center" vertical="center"/>
    </xf>
    <xf numFmtId="0" fontId="5" fillId="0" borderId="0" xfId="0" applyFont="1" applyAlignment="1">
      <alignment vertical="top"/>
    </xf>
    <xf numFmtId="0" fontId="0" fillId="0" borderId="0" xfId="0"/>
    <xf numFmtId="0" fontId="6" fillId="0" borderId="0" xfId="0" applyFont="1" applyAlignment="1">
      <alignment vertical="top"/>
    </xf>
    <xf numFmtId="0" fontId="0" fillId="31" borderId="0" xfId="0" applyFill="1"/>
    <xf numFmtId="0" fontId="0" fillId="31" borderId="0" xfId="0" applyFill="1" applyAlignment="1">
      <alignment vertical="center" wrapText="1"/>
    </xf>
  </cellXfs>
  <cellStyles count="6">
    <cellStyle name="Currency" xfId="1" builtinId="4"/>
    <cellStyle name="Neutralny 2" xfId="5" xr:uid="{8C1A848D-CD4E-4786-928E-883909C6F6CC}"/>
    <cellStyle name="Normal" xfId="0" builtinId="0"/>
    <cellStyle name="Normal 2" xfId="3" xr:uid="{50D71335-506B-48EB-834D-29F9126037A5}"/>
    <cellStyle name="Normal_Bosch_Supplier_Quality_Manual_Appendix_08Nov2006" xfId="4" xr:uid="{CFC68DC6-4D00-436E-8557-8DCA872A9F24}"/>
    <cellStyle name="Percent" xfId="2" builtinId="5"/>
  </cellStyles>
  <dxfs count="2">
    <dxf>
      <font>
        <color rgb="FF548235"/>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aseline="0">
                <a:solidFill>
                  <a:sysClr val="windowText" lastClr="000000"/>
                </a:solidFill>
              </a:rPr>
              <a:t>Net Benefits and Return on Investment (ROI)</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strRef>
              <c:f>[1]Summary!$A$23</c:f>
              <c:strCache>
                <c:ptCount val="1"/>
                <c:pt idx="0">
                  <c:v>Cumulative NET benefits</c:v>
                </c:pt>
              </c:strCache>
            </c:strRef>
          </c:tx>
          <c:spPr>
            <a:solidFill>
              <a:schemeClr val="accent1">
                <a:lumMod val="40000"/>
                <a:lumOff val="60000"/>
              </a:schemeClr>
            </a:solidFill>
            <a:ln>
              <a:noFill/>
            </a:ln>
            <a:effectLst/>
          </c:spPr>
          <c:invertIfNegative val="0"/>
          <c:dPt>
            <c:idx val="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1-841E-47EF-9446-D8843890BF3A}"/>
              </c:ext>
            </c:extLst>
          </c:dPt>
          <c:dPt>
            <c:idx val="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03-841E-47EF-9446-D8843890BF3A}"/>
              </c:ext>
            </c:extLst>
          </c:dPt>
          <c:cat>
            <c:strRef>
              <c:f>[1]Summary!$B$4:$E$4</c:f>
              <c:strCache>
                <c:ptCount val="4"/>
                <c:pt idx="0">
                  <c:v>Do Nothing</c:v>
                </c:pt>
                <c:pt idx="1">
                  <c:v>Alt 1:</c:v>
                </c:pt>
                <c:pt idx="2">
                  <c:v>Alt 2:</c:v>
                </c:pt>
                <c:pt idx="3">
                  <c:v>Alt 3:</c:v>
                </c:pt>
              </c:strCache>
            </c:strRef>
          </c:cat>
          <c:val>
            <c:numRef>
              <c:f>[1]Summary!$B$23:$E$23</c:f>
              <c:numCache>
                <c:formatCode>General</c:formatCode>
                <c:ptCount val="4"/>
                <c:pt idx="0">
                  <c:v>0</c:v>
                </c:pt>
                <c:pt idx="1">
                  <c:v>2340000</c:v>
                </c:pt>
                <c:pt idx="2">
                  <c:v>2384000</c:v>
                </c:pt>
                <c:pt idx="3">
                  <c:v>1472000</c:v>
                </c:pt>
              </c:numCache>
            </c:numRef>
          </c:val>
          <c:extLst>
            <c:ext xmlns:c16="http://schemas.microsoft.com/office/drawing/2014/chart" uri="{C3380CC4-5D6E-409C-BE32-E72D297353CC}">
              <c16:uniqueId val="{00000004-841E-47EF-9446-D8843890BF3A}"/>
            </c:ext>
          </c:extLst>
        </c:ser>
        <c:dLbls>
          <c:showLegendKey val="0"/>
          <c:showVal val="0"/>
          <c:showCatName val="0"/>
          <c:showSerName val="0"/>
          <c:showPercent val="0"/>
          <c:showBubbleSize val="0"/>
        </c:dLbls>
        <c:gapWidth val="219"/>
        <c:overlap val="-27"/>
        <c:axId val="404539664"/>
        <c:axId val="404536384"/>
      </c:barChart>
      <c:lineChart>
        <c:grouping val="standard"/>
        <c:varyColors val="0"/>
        <c:ser>
          <c:idx val="1"/>
          <c:order val="1"/>
          <c:tx>
            <c:strRef>
              <c:f>[1]Summary!$A$24</c:f>
              <c:strCache>
                <c:ptCount val="1"/>
                <c:pt idx="0">
                  <c:v>ROI: (bene-cost)/cost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[1]Summary!$B$24:$E$24</c:f>
              <c:numCache>
                <c:formatCode>General</c:formatCode>
                <c:ptCount val="4"/>
                <c:pt idx="0">
                  <c:v>0</c:v>
                </c:pt>
                <c:pt idx="1">
                  <c:v>0.9140625</c:v>
                </c:pt>
                <c:pt idx="2">
                  <c:v>1.4309723889555823</c:v>
                </c:pt>
                <c:pt idx="3">
                  <c:v>1.2266666666666666</c:v>
                </c:pt>
              </c:numCache>
            </c:numRef>
          </c:val>
          <c:smooth val="0"/>
          <c:extLst>
            <c:ext xmlns:c16="http://schemas.microsoft.com/office/drawing/2014/chart" uri="{C3380CC4-5D6E-409C-BE32-E72D297353CC}">
              <c16:uniqueId val="{00000005-841E-47EF-9446-D8843890BF3A}"/>
            </c:ext>
          </c:extLst>
        </c:ser>
        <c:dLbls>
          <c:showLegendKey val="0"/>
          <c:showVal val="0"/>
          <c:showCatName val="0"/>
          <c:showSerName val="0"/>
          <c:showPercent val="0"/>
          <c:showBubbleSize val="0"/>
        </c:dLbls>
        <c:marker val="1"/>
        <c:smooth val="0"/>
        <c:axId val="404531464"/>
        <c:axId val="404535400"/>
      </c:lineChart>
      <c:catAx>
        <c:axId val="404539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36384"/>
        <c:crosses val="autoZero"/>
        <c:auto val="0"/>
        <c:lblAlgn val="ctr"/>
        <c:lblOffset val="100"/>
        <c:noMultiLvlLbl val="0"/>
      </c:catAx>
      <c:valAx>
        <c:axId val="404536384"/>
        <c:scaling>
          <c:orientation val="minMax"/>
        </c:scaling>
        <c:delete val="0"/>
        <c:axPos val="l"/>
        <c:majorGridlines>
          <c:spPr>
            <a:ln w="9525" cap="flat" cmpd="sng" algn="ctr">
              <a:solidFill>
                <a:schemeClr val="tx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39664"/>
        <c:crosses val="autoZero"/>
        <c:crossBetween val="between"/>
      </c:valAx>
      <c:valAx>
        <c:axId val="404535400"/>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31464"/>
        <c:crosses val="max"/>
        <c:crossBetween val="between"/>
      </c:valAx>
      <c:catAx>
        <c:axId val="404531464"/>
        <c:scaling>
          <c:orientation val="minMax"/>
        </c:scaling>
        <c:delete val="1"/>
        <c:axPos val="b"/>
        <c:numFmt formatCode="0%" sourceLinked="1"/>
        <c:majorTickMark val="none"/>
        <c:minorTickMark val="none"/>
        <c:tickLblPos val="nextTo"/>
        <c:crossAx val="40453540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aseline="0">
                <a:solidFill>
                  <a:schemeClr val="tx1"/>
                </a:solidFill>
              </a:rPr>
              <a:t>Total Cost of Ownership (TCO)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[1]Summary!$A$5</c:f>
              <c:strCache>
                <c:ptCount val="1"/>
                <c:pt idx="0">
                  <c:v>Project Cost</c:v>
                </c:pt>
              </c:strCache>
            </c:strRef>
          </c:tx>
          <c:spPr>
            <a:solidFill>
              <a:schemeClr val="tx2">
                <a:lumMod val="75000"/>
              </a:schemeClr>
            </a:solidFill>
            <a:ln>
              <a:noFill/>
            </a:ln>
            <a:effectLst/>
          </c:spPr>
          <c:invertIfNegative val="0"/>
          <c:cat>
            <c:strRef>
              <c:f>[1]Summary!$B$4:$E$4</c:f>
              <c:strCache>
                <c:ptCount val="4"/>
                <c:pt idx="0">
                  <c:v>Do Nothing</c:v>
                </c:pt>
                <c:pt idx="1">
                  <c:v>Alt 1:</c:v>
                </c:pt>
                <c:pt idx="2">
                  <c:v>Alt 2:</c:v>
                </c:pt>
                <c:pt idx="3">
                  <c:v>Alt 3:</c:v>
                </c:pt>
              </c:strCache>
            </c:strRef>
          </c:cat>
          <c:val>
            <c:numRef>
              <c:f>[1]Summary!$B$5:$E$5</c:f>
              <c:numCache>
                <c:formatCode>General</c:formatCode>
                <c:ptCount val="4"/>
                <c:pt idx="0">
                  <c:v>0</c:v>
                </c:pt>
                <c:pt idx="1">
                  <c:v>2560000</c:v>
                </c:pt>
                <c:pt idx="2">
                  <c:v>1666000</c:v>
                </c:pt>
                <c:pt idx="3">
                  <c:v>1200000</c:v>
                </c:pt>
              </c:numCache>
            </c:numRef>
          </c:val>
          <c:extLst>
            <c:ext xmlns:c16="http://schemas.microsoft.com/office/drawing/2014/chart" uri="{C3380CC4-5D6E-409C-BE32-E72D297353CC}">
              <c16:uniqueId val="{00000000-0413-4EC5-B0A1-CCA5D848EB08}"/>
            </c:ext>
          </c:extLst>
        </c:ser>
        <c:ser>
          <c:idx val="2"/>
          <c:order val="1"/>
          <c:tx>
            <c:strRef>
              <c:f>[1]Summary!$A$6</c:f>
              <c:strCache>
                <c:ptCount val="1"/>
                <c:pt idx="0">
                  <c:v>O&amp;M: FTE IT staff</c:v>
                </c:pt>
              </c:strCache>
            </c:strRef>
          </c:tx>
          <c:spPr>
            <a:solidFill>
              <a:schemeClr val="accent3"/>
            </a:solidFill>
            <a:ln>
              <a:noFill/>
            </a:ln>
            <a:effectLst/>
          </c:spPr>
          <c:invertIfNegative val="0"/>
          <c:cat>
            <c:strRef>
              <c:f>[1]Summary!$B$4:$E$4</c:f>
              <c:strCache>
                <c:ptCount val="4"/>
                <c:pt idx="0">
                  <c:v>Do Nothing</c:v>
                </c:pt>
                <c:pt idx="1">
                  <c:v>Alt 1:</c:v>
                </c:pt>
                <c:pt idx="2">
                  <c:v>Alt 2:</c:v>
                </c:pt>
                <c:pt idx="3">
                  <c:v>Alt 3:</c:v>
                </c:pt>
              </c:strCache>
            </c:strRef>
          </c:cat>
          <c:val>
            <c:numRef>
              <c:f>[1]Summary!$B$6:$E$6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1-0413-4EC5-B0A1-CCA5D848EB08}"/>
            </c:ext>
          </c:extLst>
        </c:ser>
        <c:ser>
          <c:idx val="3"/>
          <c:order val="2"/>
          <c:tx>
            <c:strRef>
              <c:f>[1]Summary!$A$7</c:f>
              <c:strCache>
                <c:ptCount val="1"/>
                <c:pt idx="0">
                  <c:v>O&amp;M: FTE operations staff</c:v>
                </c:pt>
              </c:strCache>
            </c:strRef>
          </c:tx>
          <c:spPr>
            <a:solidFill>
              <a:schemeClr val="accent4"/>
            </a:solidFill>
            <a:ln>
              <a:noFill/>
            </a:ln>
            <a:effectLst/>
          </c:spPr>
          <c:invertIfNegative val="0"/>
          <c:cat>
            <c:strRef>
              <c:f>[1]Summary!$B$4:$E$4</c:f>
              <c:strCache>
                <c:ptCount val="4"/>
                <c:pt idx="0">
                  <c:v>Do Nothing</c:v>
                </c:pt>
                <c:pt idx="1">
                  <c:v>Alt 1:</c:v>
                </c:pt>
                <c:pt idx="2">
                  <c:v>Alt 2:</c:v>
                </c:pt>
                <c:pt idx="3">
                  <c:v>Alt 3:</c:v>
                </c:pt>
              </c:strCache>
            </c:strRef>
          </c:cat>
          <c:val>
            <c:numRef>
              <c:f>[1]Summary!$B$7:$E$7</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2-0413-4EC5-B0A1-CCA5D848EB08}"/>
            </c:ext>
          </c:extLst>
        </c:ser>
        <c:ser>
          <c:idx val="4"/>
          <c:order val="3"/>
          <c:tx>
            <c:strRef>
              <c:f>[1]Summary!$A$8</c:f>
              <c:strCache>
                <c:ptCount val="1"/>
                <c:pt idx="0">
                  <c:v>O&amp;M: Ops Contractors</c:v>
                </c:pt>
              </c:strCache>
            </c:strRef>
          </c:tx>
          <c:spPr>
            <a:solidFill>
              <a:schemeClr val="accent5"/>
            </a:solidFill>
            <a:ln>
              <a:noFill/>
            </a:ln>
            <a:effectLst/>
          </c:spPr>
          <c:invertIfNegative val="0"/>
          <c:cat>
            <c:strRef>
              <c:f>[1]Summary!$B$4:$E$4</c:f>
              <c:strCache>
                <c:ptCount val="4"/>
                <c:pt idx="0">
                  <c:v>Do Nothing</c:v>
                </c:pt>
                <c:pt idx="1">
                  <c:v>Alt 1:</c:v>
                </c:pt>
                <c:pt idx="2">
                  <c:v>Alt 2:</c:v>
                </c:pt>
                <c:pt idx="3">
                  <c:v>Alt 3:</c:v>
                </c:pt>
              </c:strCache>
            </c:strRef>
          </c:cat>
          <c:val>
            <c:numRef>
              <c:f>[1]Summary!$B$8:$E$8</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3-0413-4EC5-B0A1-CCA5D848EB08}"/>
            </c:ext>
          </c:extLst>
        </c:ser>
        <c:ser>
          <c:idx val="5"/>
          <c:order val="4"/>
          <c:tx>
            <c:strRef>
              <c:f>[1]Summary!$A$9</c:f>
              <c:strCache>
                <c:ptCount val="1"/>
                <c:pt idx="0">
                  <c:v>O&amp;M: IT Vendor Svcs.</c:v>
                </c:pt>
              </c:strCache>
            </c:strRef>
          </c:tx>
          <c:spPr>
            <a:solidFill>
              <a:schemeClr val="accent6"/>
            </a:solidFill>
            <a:ln>
              <a:noFill/>
            </a:ln>
            <a:effectLst/>
          </c:spPr>
          <c:invertIfNegative val="0"/>
          <c:cat>
            <c:strRef>
              <c:f>[1]Summary!$B$4:$E$4</c:f>
              <c:strCache>
                <c:ptCount val="4"/>
                <c:pt idx="0">
                  <c:v>Do Nothing</c:v>
                </c:pt>
                <c:pt idx="1">
                  <c:v>Alt 1:</c:v>
                </c:pt>
                <c:pt idx="2">
                  <c:v>Alt 2:</c:v>
                </c:pt>
                <c:pt idx="3">
                  <c:v>Alt 3:</c:v>
                </c:pt>
              </c:strCache>
            </c:strRef>
          </c:cat>
          <c:val>
            <c:numRef>
              <c:f>[1]Summary!$B$9:$E$9</c:f>
              <c:numCache>
                <c:formatCode>General</c:formatCode>
                <c:ptCount val="4"/>
                <c:pt idx="0">
                  <c:v>8100000</c:v>
                </c:pt>
                <c:pt idx="1">
                  <c:v>3900000</c:v>
                </c:pt>
                <c:pt idx="2">
                  <c:v>5250000</c:v>
                </c:pt>
                <c:pt idx="3">
                  <c:v>6228000</c:v>
                </c:pt>
              </c:numCache>
            </c:numRef>
          </c:val>
          <c:extLst>
            <c:ext xmlns:c16="http://schemas.microsoft.com/office/drawing/2014/chart" uri="{C3380CC4-5D6E-409C-BE32-E72D297353CC}">
              <c16:uniqueId val="{00000004-0413-4EC5-B0A1-CCA5D848EB08}"/>
            </c:ext>
          </c:extLst>
        </c:ser>
        <c:ser>
          <c:idx val="6"/>
          <c:order val="5"/>
          <c:tx>
            <c:strRef>
              <c:f>[1]Summary!$A$10</c:f>
              <c:strCache>
                <c:ptCount val="1"/>
                <c:pt idx="0">
                  <c:v>O&amp;M: SW &amp; Licenses</c:v>
                </c:pt>
              </c:strCache>
            </c:strRef>
          </c:tx>
          <c:spPr>
            <a:solidFill>
              <a:schemeClr val="accent1">
                <a:lumMod val="60000"/>
              </a:schemeClr>
            </a:solidFill>
            <a:ln>
              <a:noFill/>
            </a:ln>
            <a:effectLst/>
          </c:spPr>
          <c:invertIfNegative val="0"/>
          <c:cat>
            <c:strRef>
              <c:f>[1]Summary!$B$4:$E$4</c:f>
              <c:strCache>
                <c:ptCount val="4"/>
                <c:pt idx="0">
                  <c:v>Do Nothing</c:v>
                </c:pt>
                <c:pt idx="1">
                  <c:v>Alt 1:</c:v>
                </c:pt>
                <c:pt idx="2">
                  <c:v>Alt 2:</c:v>
                </c:pt>
                <c:pt idx="3">
                  <c:v>Alt 3:</c:v>
                </c:pt>
              </c:strCache>
            </c:strRef>
          </c:cat>
          <c:val>
            <c:numRef>
              <c:f>[1]Summary!$B$10:$E$10</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5-0413-4EC5-B0A1-CCA5D848EB08}"/>
            </c:ext>
          </c:extLst>
        </c:ser>
        <c:ser>
          <c:idx val="7"/>
          <c:order val="6"/>
          <c:tx>
            <c:strRef>
              <c:f>[1]Summary!$A$11</c:f>
              <c:strCache>
                <c:ptCount val="1"/>
                <c:pt idx="0">
                  <c:v>O&amp;M: HW</c:v>
                </c:pt>
              </c:strCache>
            </c:strRef>
          </c:tx>
          <c:spPr>
            <a:solidFill>
              <a:schemeClr val="accent2">
                <a:lumMod val="60000"/>
              </a:schemeClr>
            </a:solidFill>
            <a:ln>
              <a:noFill/>
            </a:ln>
            <a:effectLst/>
          </c:spPr>
          <c:invertIfNegative val="0"/>
          <c:cat>
            <c:strRef>
              <c:f>[1]Summary!$B$4:$E$4</c:f>
              <c:strCache>
                <c:ptCount val="4"/>
                <c:pt idx="0">
                  <c:v>Do Nothing</c:v>
                </c:pt>
                <c:pt idx="1">
                  <c:v>Alt 1:</c:v>
                </c:pt>
                <c:pt idx="2">
                  <c:v>Alt 2:</c:v>
                </c:pt>
                <c:pt idx="3">
                  <c:v>Alt 3:</c:v>
                </c:pt>
              </c:strCache>
            </c:strRef>
          </c:cat>
          <c:val>
            <c:numRef>
              <c:f>[1]Summary!$B$11:$E$11</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6-0413-4EC5-B0A1-CCA5D848EB08}"/>
            </c:ext>
          </c:extLst>
        </c:ser>
        <c:ser>
          <c:idx val="8"/>
          <c:order val="7"/>
          <c:tx>
            <c:strRef>
              <c:f>[1]Summary!$A$12</c:f>
              <c:strCache>
                <c:ptCount val="1"/>
                <c:pt idx="0">
                  <c:v>O&amp;M: Maintenance</c:v>
                </c:pt>
              </c:strCache>
            </c:strRef>
          </c:tx>
          <c:spPr>
            <a:solidFill>
              <a:schemeClr val="accent3">
                <a:lumMod val="60000"/>
              </a:schemeClr>
            </a:solidFill>
            <a:ln>
              <a:noFill/>
            </a:ln>
            <a:effectLst/>
          </c:spPr>
          <c:invertIfNegative val="0"/>
          <c:cat>
            <c:strRef>
              <c:f>[1]Summary!$B$4:$E$4</c:f>
              <c:strCache>
                <c:ptCount val="4"/>
                <c:pt idx="0">
                  <c:v>Do Nothing</c:v>
                </c:pt>
                <c:pt idx="1">
                  <c:v>Alt 1:</c:v>
                </c:pt>
                <c:pt idx="2">
                  <c:v>Alt 2:</c:v>
                </c:pt>
                <c:pt idx="3">
                  <c:v>Alt 3:</c:v>
                </c:pt>
              </c:strCache>
            </c:strRef>
          </c:cat>
          <c:val>
            <c:numRef>
              <c:f>[1]Summary!$B$12:$E$12</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7-0413-4EC5-B0A1-CCA5D848EB08}"/>
            </c:ext>
          </c:extLst>
        </c:ser>
        <c:ser>
          <c:idx val="9"/>
          <c:order val="8"/>
          <c:tx>
            <c:strRef>
              <c:f>[1]Summary!$A$13</c:f>
              <c:strCache>
                <c:ptCount val="1"/>
                <c:pt idx="0">
                  <c:v>O&amp;M: Facilities</c:v>
                </c:pt>
              </c:strCache>
            </c:strRef>
          </c:tx>
          <c:spPr>
            <a:solidFill>
              <a:schemeClr val="accent4">
                <a:lumMod val="60000"/>
              </a:schemeClr>
            </a:solidFill>
            <a:ln>
              <a:noFill/>
            </a:ln>
            <a:effectLst/>
          </c:spPr>
          <c:invertIfNegative val="0"/>
          <c:cat>
            <c:strRef>
              <c:f>[1]Summary!$B$4:$E$4</c:f>
              <c:strCache>
                <c:ptCount val="4"/>
                <c:pt idx="0">
                  <c:v>Do Nothing</c:v>
                </c:pt>
                <c:pt idx="1">
                  <c:v>Alt 1:</c:v>
                </c:pt>
                <c:pt idx="2">
                  <c:v>Alt 2:</c:v>
                </c:pt>
                <c:pt idx="3">
                  <c:v>Alt 3:</c:v>
                </c:pt>
              </c:strCache>
            </c:strRef>
          </c:cat>
          <c:val>
            <c:numRef>
              <c:f>[1]Summary!$B$13:$E$13</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8-0413-4EC5-B0A1-CCA5D848EB08}"/>
            </c:ext>
          </c:extLst>
        </c:ser>
        <c:ser>
          <c:idx val="10"/>
          <c:order val="9"/>
          <c:tx>
            <c:strRef>
              <c:f>[1]Summary!$A$14</c:f>
              <c:strCache>
                <c:ptCount val="1"/>
                <c:pt idx="0">
                  <c:v>O&amp;M: Telecomm</c:v>
                </c:pt>
              </c:strCache>
            </c:strRef>
          </c:tx>
          <c:spPr>
            <a:solidFill>
              <a:schemeClr val="accent5">
                <a:lumMod val="60000"/>
              </a:schemeClr>
            </a:solidFill>
            <a:ln>
              <a:noFill/>
            </a:ln>
            <a:effectLst/>
          </c:spPr>
          <c:invertIfNegative val="0"/>
          <c:cat>
            <c:strRef>
              <c:f>[1]Summary!$B$4:$E$4</c:f>
              <c:strCache>
                <c:ptCount val="4"/>
                <c:pt idx="0">
                  <c:v>Do Nothing</c:v>
                </c:pt>
                <c:pt idx="1">
                  <c:v>Alt 1:</c:v>
                </c:pt>
                <c:pt idx="2">
                  <c:v>Alt 2:</c:v>
                </c:pt>
                <c:pt idx="3">
                  <c:v>Alt 3:</c:v>
                </c:pt>
              </c:strCache>
            </c:strRef>
          </c:cat>
          <c:val>
            <c:numRef>
              <c:f>[1]Summary!$B$14:$E$14</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9-0413-4EC5-B0A1-CCA5D848EB08}"/>
            </c:ext>
          </c:extLst>
        </c:ser>
        <c:ser>
          <c:idx val="11"/>
          <c:order val="10"/>
          <c:tx>
            <c:strRef>
              <c:f>[1]Summary!$A$15</c:f>
              <c:strCache>
                <c:ptCount val="1"/>
                <c:pt idx="0">
                  <c:v>O&amp;M: Training</c:v>
                </c:pt>
              </c:strCache>
            </c:strRef>
          </c:tx>
          <c:spPr>
            <a:solidFill>
              <a:schemeClr val="accent6">
                <a:lumMod val="60000"/>
              </a:schemeClr>
            </a:solidFill>
            <a:ln>
              <a:noFill/>
            </a:ln>
            <a:effectLst/>
          </c:spPr>
          <c:invertIfNegative val="0"/>
          <c:cat>
            <c:strRef>
              <c:f>[1]Summary!$B$4:$E$4</c:f>
              <c:strCache>
                <c:ptCount val="4"/>
                <c:pt idx="0">
                  <c:v>Do Nothing</c:v>
                </c:pt>
                <c:pt idx="1">
                  <c:v>Alt 1:</c:v>
                </c:pt>
                <c:pt idx="2">
                  <c:v>Alt 2:</c:v>
                </c:pt>
                <c:pt idx="3">
                  <c:v>Alt 3:</c:v>
                </c:pt>
              </c:strCache>
            </c:strRef>
          </c:cat>
          <c:val>
            <c:numRef>
              <c:f>[1]Summary!$B$15:$E$15</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A-0413-4EC5-B0A1-CCA5D848EB08}"/>
            </c:ext>
          </c:extLst>
        </c:ser>
        <c:ser>
          <c:idx val="12"/>
          <c:order val="11"/>
          <c:tx>
            <c:strRef>
              <c:f>[1]Summary!$A$16</c:f>
              <c:strCache>
                <c:ptCount val="1"/>
                <c:pt idx="0">
                  <c:v>O&amp;M: Op Contingncy</c:v>
                </c:pt>
              </c:strCache>
            </c:strRef>
          </c:tx>
          <c:spPr>
            <a:solidFill>
              <a:schemeClr val="accent1">
                <a:lumMod val="80000"/>
                <a:lumOff val="20000"/>
              </a:schemeClr>
            </a:solidFill>
            <a:ln>
              <a:noFill/>
            </a:ln>
            <a:effectLst/>
          </c:spPr>
          <c:invertIfNegative val="0"/>
          <c:cat>
            <c:strRef>
              <c:f>[1]Summary!$B$4:$E$4</c:f>
              <c:strCache>
                <c:ptCount val="4"/>
                <c:pt idx="0">
                  <c:v>Do Nothing</c:v>
                </c:pt>
                <c:pt idx="1">
                  <c:v>Alt 1:</c:v>
                </c:pt>
                <c:pt idx="2">
                  <c:v>Alt 2:</c:v>
                </c:pt>
                <c:pt idx="3">
                  <c:v>Alt 3:</c:v>
                </c:pt>
              </c:strCache>
            </c:strRef>
          </c:cat>
          <c:val>
            <c:numRef>
              <c:f>[1]Summary!$B$16:$E$16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B-0413-4EC5-B0A1-CCA5D848EB08}"/>
            </c:ext>
          </c:extLst>
        </c:ser>
        <c:ser>
          <c:idx val="13"/>
          <c:order val="12"/>
          <c:tx>
            <c:strRef>
              <c:f>[1]Summary!$A$17</c:f>
              <c:strCache>
                <c:ptCount val="1"/>
                <c:pt idx="0">
                  <c:v>O&amp;M: Misc Ops</c:v>
                </c:pt>
              </c:strCache>
            </c:strRef>
          </c:tx>
          <c:spPr>
            <a:solidFill>
              <a:schemeClr val="accent2">
                <a:lumMod val="80000"/>
                <a:lumOff val="20000"/>
              </a:schemeClr>
            </a:solidFill>
            <a:ln>
              <a:noFill/>
            </a:ln>
            <a:effectLst/>
          </c:spPr>
          <c:invertIfNegative val="0"/>
          <c:cat>
            <c:strRef>
              <c:f>[1]Summary!$B$4:$E$4</c:f>
              <c:strCache>
                <c:ptCount val="4"/>
                <c:pt idx="0">
                  <c:v>Do Nothing</c:v>
                </c:pt>
                <c:pt idx="1">
                  <c:v>Alt 1:</c:v>
                </c:pt>
                <c:pt idx="2">
                  <c:v>Alt 2:</c:v>
                </c:pt>
                <c:pt idx="3">
                  <c:v>Alt 3:</c:v>
                </c:pt>
              </c:strCache>
            </c:strRef>
          </c:cat>
          <c:val>
            <c:numRef>
              <c:f>[1]Summary!$B$17:$E$17</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C-0413-4EC5-B0A1-CCA5D848EB08}"/>
            </c:ext>
          </c:extLst>
        </c:ser>
        <c:ser>
          <c:idx val="14"/>
          <c:order val="13"/>
          <c:tx>
            <c:strRef>
              <c:f>[1]Summary!$A$18</c:f>
              <c:strCache>
                <c:ptCount val="1"/>
                <c:pt idx="0">
                  <c:v>Total O&amp;M Cost</c:v>
                </c:pt>
              </c:strCache>
            </c:strRef>
          </c:tx>
          <c:spPr>
            <a:solidFill>
              <a:schemeClr val="bg2">
                <a:lumMod val="75000"/>
              </a:schemeClr>
            </a:solidFill>
            <a:ln>
              <a:noFill/>
            </a:ln>
            <a:effectLst/>
          </c:spPr>
          <c:invertIfNegative val="0"/>
          <c:dPt>
            <c:idx val="1"/>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E-0413-4EC5-B0A1-CCA5D848EB08}"/>
              </c:ext>
            </c:extLst>
          </c:dPt>
          <c:dPt>
            <c:idx val="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10-0413-4EC5-B0A1-CCA5D848EB08}"/>
              </c:ext>
            </c:extLst>
          </c:dPt>
          <c:dPt>
            <c:idx val="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12-0413-4EC5-B0A1-CCA5D848EB08}"/>
              </c:ext>
            </c:extLst>
          </c:dPt>
          <c:cat>
            <c:strRef>
              <c:f>[1]Summary!$B$4:$E$4</c:f>
              <c:strCache>
                <c:ptCount val="4"/>
                <c:pt idx="0">
                  <c:v>Do Nothing</c:v>
                </c:pt>
                <c:pt idx="1">
                  <c:v>Alt 1:</c:v>
                </c:pt>
                <c:pt idx="2">
                  <c:v>Alt 2:</c:v>
                </c:pt>
                <c:pt idx="3">
                  <c:v>Alt 3:</c:v>
                </c:pt>
              </c:strCache>
            </c:strRef>
          </c:cat>
          <c:val>
            <c:numRef>
              <c:f>[1]Summary!$B$18:$E$18</c:f>
              <c:numCache>
                <c:formatCode>General</c:formatCode>
                <c:ptCount val="4"/>
                <c:pt idx="0">
                  <c:v>8100000</c:v>
                </c:pt>
                <c:pt idx="1">
                  <c:v>3900000</c:v>
                </c:pt>
                <c:pt idx="2">
                  <c:v>5250000</c:v>
                </c:pt>
                <c:pt idx="3">
                  <c:v>6228000</c:v>
                </c:pt>
              </c:numCache>
            </c:numRef>
          </c:val>
          <c:extLst>
            <c:ext xmlns:c16="http://schemas.microsoft.com/office/drawing/2014/chart" uri="{C3380CC4-5D6E-409C-BE32-E72D297353CC}">
              <c16:uniqueId val="{00000013-0413-4EC5-B0A1-CCA5D848EB08}"/>
            </c:ext>
          </c:extLst>
        </c:ser>
        <c:dLbls>
          <c:showLegendKey val="0"/>
          <c:showVal val="0"/>
          <c:showCatName val="0"/>
          <c:showSerName val="0"/>
          <c:showPercent val="0"/>
          <c:showBubbleSize val="0"/>
        </c:dLbls>
        <c:gapWidth val="150"/>
        <c:overlap val="100"/>
        <c:axId val="401667376"/>
        <c:axId val="401664424"/>
      </c:barChart>
      <c:catAx>
        <c:axId val="401667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664424"/>
        <c:crosses val="autoZero"/>
        <c:auto val="1"/>
        <c:lblAlgn val="ctr"/>
        <c:lblOffset val="100"/>
        <c:noMultiLvlLbl val="0"/>
      </c:catAx>
      <c:valAx>
        <c:axId val="401664424"/>
        <c:scaling>
          <c:orientation val="minMax"/>
        </c:scaling>
        <c:delete val="0"/>
        <c:axPos val="l"/>
        <c:majorGridlines>
          <c:spPr>
            <a:ln w="9525" cap="flat" cmpd="sng" algn="ctr">
              <a:solidFill>
                <a:schemeClr val="tx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667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38100</xdr:rowOff>
    </xdr:from>
    <xdr:to>
      <xdr:col>15</xdr:col>
      <xdr:colOff>0</xdr:colOff>
      <xdr:row>0</xdr:row>
      <xdr:rowOff>476250</xdr:rowOff>
    </xdr:to>
    <xdr:sp macro="" textlink="">
      <xdr:nvSpPr>
        <xdr:cNvPr id="2" name="AutoShape 1">
          <a:extLst>
            <a:ext uri="{FF2B5EF4-FFF2-40B4-BE49-F238E27FC236}">
              <a16:creationId xmlns:a16="http://schemas.microsoft.com/office/drawing/2014/main" id="{A94F9CEA-5612-4385-BBCC-74D87E72191A}"/>
            </a:ext>
          </a:extLst>
        </xdr:cNvPr>
        <xdr:cNvSpPr>
          <a:spLocks noChangeArrowheads="1"/>
        </xdr:cNvSpPr>
      </xdr:nvSpPr>
      <xdr:spPr bwMode="auto">
        <a:xfrm>
          <a:off x="0" y="38100"/>
          <a:ext cx="8601075" cy="438150"/>
        </a:xfrm>
        <a:prstGeom prst="roundRect">
          <a:avLst>
            <a:gd name="adj" fmla="val 16667"/>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mc:AlternateContent xmlns:mc="http://schemas.openxmlformats.org/markup-compatibility/2006">
    <mc:Choice xmlns:a14="http://schemas.microsoft.com/office/drawing/2010/main" Requires="a14">
      <xdr:twoCellAnchor editAs="oneCell">
        <xdr:from>
          <xdr:col>13</xdr:col>
          <xdr:colOff>38100</xdr:colOff>
          <xdr:row>3</xdr:row>
          <xdr:rowOff>19050</xdr:rowOff>
        </xdr:from>
        <xdr:to>
          <xdr:col>14</xdr:col>
          <xdr:colOff>28575</xdr:colOff>
          <xdr:row>4</xdr:row>
          <xdr:rowOff>76200</xdr:rowOff>
        </xdr:to>
        <xdr:sp macro="" textlink="">
          <xdr:nvSpPr>
            <xdr:cNvPr id="14337" name="Check Box 1" hidden="1">
              <a:extLst>
                <a:ext uri="{63B3BB69-23CF-44E3-9099-C40C66FF867C}">
                  <a14:compatExt spid="_x0000_s14337"/>
                </a:ext>
                <a:ext uri="{FF2B5EF4-FFF2-40B4-BE49-F238E27FC236}">
                  <a16:creationId xmlns:a16="http://schemas.microsoft.com/office/drawing/2014/main" id="{00000000-0008-0000-0300-000001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38100</xdr:colOff>
          <xdr:row>4</xdr:row>
          <xdr:rowOff>19050</xdr:rowOff>
        </xdr:from>
        <xdr:to>
          <xdr:col>14</xdr:col>
          <xdr:colOff>28575</xdr:colOff>
          <xdr:row>5</xdr:row>
          <xdr:rowOff>76200</xdr:rowOff>
        </xdr:to>
        <xdr:sp macro="" textlink="">
          <xdr:nvSpPr>
            <xdr:cNvPr id="14338" name="Check Box 2" hidden="1">
              <a:extLst>
                <a:ext uri="{63B3BB69-23CF-44E3-9099-C40C66FF867C}">
                  <a14:compatExt spid="_x0000_s14338"/>
                </a:ext>
                <a:ext uri="{FF2B5EF4-FFF2-40B4-BE49-F238E27FC236}">
                  <a16:creationId xmlns:a16="http://schemas.microsoft.com/office/drawing/2014/main" id="{00000000-0008-0000-0300-000002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161925</xdr:colOff>
      <xdr:row>26</xdr:row>
      <xdr:rowOff>57149</xdr:rowOff>
    </xdr:from>
    <xdr:to>
      <xdr:col>5</xdr:col>
      <xdr:colOff>38100</xdr:colOff>
      <xdr:row>53</xdr:row>
      <xdr:rowOff>142875</xdr:rowOff>
    </xdr:to>
    <xdr:graphicFrame macro="">
      <xdr:nvGraphicFramePr>
        <xdr:cNvPr id="2" name="Chart 1">
          <a:extLst>
            <a:ext uri="{FF2B5EF4-FFF2-40B4-BE49-F238E27FC236}">
              <a16:creationId xmlns:a16="http://schemas.microsoft.com/office/drawing/2014/main" id="{9355DE74-24B3-4E90-9801-8D7BCC1F83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142876</xdr:colOff>
      <xdr:row>1</xdr:row>
      <xdr:rowOff>152399</xdr:rowOff>
    </xdr:from>
    <xdr:to>
      <xdr:col>14</xdr:col>
      <xdr:colOff>95250</xdr:colOff>
      <xdr:row>53</xdr:row>
      <xdr:rowOff>152400</xdr:rowOff>
    </xdr:to>
    <xdr:graphicFrame macro="">
      <xdr:nvGraphicFramePr>
        <xdr:cNvPr id="3" name="Chart 2">
          <a:extLst>
            <a:ext uri="{FF2B5EF4-FFF2-40B4-BE49-F238E27FC236}">
              <a16:creationId xmlns:a16="http://schemas.microsoft.com/office/drawing/2014/main" id="{9A1C8396-B250-459F-8A1E-04116EA3F2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ehrnia\Desktop\Job\AtlasCopco\Business%20Analysis%20Project%20and%20Stakeholder%20Management\Excel_PLM\CBA-Excel-Example.xlsx" TargetMode="External"/><Relationship Id="rId1" Type="http://schemas.openxmlformats.org/officeDocument/2006/relationships/externalLinkPath" Target="CBA-Excel-Examp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Do Nothing"/>
      <sheetName val="Alt 1."/>
      <sheetName val="Alt 2."/>
      <sheetName val="Alt 3."/>
      <sheetName val="Instructions (read first)"/>
      <sheetName val="Example scenario"/>
    </sheetNames>
    <sheetDataSet>
      <sheetData sheetId="0">
        <row r="4">
          <cell r="B4" t="str">
            <v>Do Nothing</v>
          </cell>
          <cell r="C4" t="str">
            <v>Alt 1:</v>
          </cell>
          <cell r="D4" t="str">
            <v>Alt 2:</v>
          </cell>
          <cell r="E4" t="str">
            <v>Alt 3:</v>
          </cell>
        </row>
        <row r="5">
          <cell r="A5" t="str">
            <v>Project Cost</v>
          </cell>
          <cell r="B5" t="str">
            <v>n/a</v>
          </cell>
          <cell r="C5">
            <v>2560000</v>
          </cell>
          <cell r="D5">
            <v>1666000</v>
          </cell>
          <cell r="E5">
            <v>1200000</v>
          </cell>
        </row>
        <row r="6">
          <cell r="A6" t="str">
            <v>O&amp;M: FTE IT staff</v>
          </cell>
          <cell r="B6" t="e">
            <v>#REF!</v>
          </cell>
          <cell r="C6" t="e">
            <v>#REF!</v>
          </cell>
          <cell r="D6" t="e">
            <v>#REF!</v>
          </cell>
          <cell r="E6" t="e">
            <v>#REF!</v>
          </cell>
        </row>
        <row r="7">
          <cell r="A7" t="str">
            <v>O&amp;M: FTE operations staff</v>
          </cell>
          <cell r="B7" t="e">
            <v>#REF!</v>
          </cell>
          <cell r="C7" t="e">
            <v>#REF!</v>
          </cell>
          <cell r="D7" t="e">
            <v>#REF!</v>
          </cell>
          <cell r="E7" t="e">
            <v>#REF!</v>
          </cell>
        </row>
        <row r="8">
          <cell r="A8" t="str">
            <v>O&amp;M: Ops Contractors</v>
          </cell>
          <cell r="B8" t="e">
            <v>#REF!</v>
          </cell>
          <cell r="C8" t="e">
            <v>#REF!</v>
          </cell>
          <cell r="D8" t="e">
            <v>#REF!</v>
          </cell>
          <cell r="E8" t="e">
            <v>#REF!</v>
          </cell>
        </row>
        <row r="9">
          <cell r="A9" t="str">
            <v>O&amp;M: IT Vendor Svcs.</v>
          </cell>
          <cell r="B9">
            <v>8100000</v>
          </cell>
          <cell r="C9">
            <v>3900000</v>
          </cell>
          <cell r="D9">
            <v>5250000</v>
          </cell>
          <cell r="E9">
            <v>6228000</v>
          </cell>
        </row>
        <row r="10">
          <cell r="A10" t="str">
            <v>O&amp;M: SW &amp; Licenses</v>
          </cell>
          <cell r="B10" t="e">
            <v>#REF!</v>
          </cell>
          <cell r="C10" t="e">
            <v>#REF!</v>
          </cell>
          <cell r="D10" t="e">
            <v>#REF!</v>
          </cell>
          <cell r="E10" t="e">
            <v>#REF!</v>
          </cell>
        </row>
        <row r="11">
          <cell r="A11" t="str">
            <v>O&amp;M: HW</v>
          </cell>
          <cell r="B11" t="e">
            <v>#REF!</v>
          </cell>
          <cell r="C11" t="e">
            <v>#REF!</v>
          </cell>
          <cell r="D11" t="e">
            <v>#REF!</v>
          </cell>
          <cell r="E11" t="e">
            <v>#REF!</v>
          </cell>
        </row>
        <row r="12">
          <cell r="A12" t="str">
            <v>O&amp;M: Maintenance</v>
          </cell>
          <cell r="B12" t="e">
            <v>#REF!</v>
          </cell>
          <cell r="C12" t="e">
            <v>#REF!</v>
          </cell>
          <cell r="D12" t="e">
            <v>#REF!</v>
          </cell>
          <cell r="E12" t="e">
            <v>#REF!</v>
          </cell>
        </row>
        <row r="13">
          <cell r="A13" t="str">
            <v>O&amp;M: Facilities</v>
          </cell>
          <cell r="B13" t="e">
            <v>#REF!</v>
          </cell>
          <cell r="C13" t="e">
            <v>#REF!</v>
          </cell>
          <cell r="D13" t="e">
            <v>#REF!</v>
          </cell>
          <cell r="E13" t="e">
            <v>#REF!</v>
          </cell>
        </row>
        <row r="14">
          <cell r="A14" t="str">
            <v>O&amp;M: Telecomm</v>
          </cell>
          <cell r="B14" t="e">
            <v>#REF!</v>
          </cell>
          <cell r="C14" t="e">
            <v>#REF!</v>
          </cell>
          <cell r="D14" t="e">
            <v>#REF!</v>
          </cell>
          <cell r="E14" t="e">
            <v>#REF!</v>
          </cell>
        </row>
        <row r="15">
          <cell r="A15" t="str">
            <v>O&amp;M: Training</v>
          </cell>
          <cell r="B15" t="e">
            <v>#REF!</v>
          </cell>
          <cell r="C15" t="e">
            <v>#REF!</v>
          </cell>
          <cell r="D15" t="e">
            <v>#REF!</v>
          </cell>
          <cell r="E15" t="e">
            <v>#REF!</v>
          </cell>
        </row>
        <row r="16">
          <cell r="A16" t="str">
            <v>O&amp;M: Op Contingncy</v>
          </cell>
          <cell r="B16" t="e">
            <v>#REF!</v>
          </cell>
          <cell r="C16" t="e">
            <v>#REF!</v>
          </cell>
          <cell r="D16" t="e">
            <v>#REF!</v>
          </cell>
          <cell r="E16" t="e">
            <v>#REF!</v>
          </cell>
        </row>
        <row r="17">
          <cell r="A17" t="str">
            <v>O&amp;M: Misc Ops</v>
          </cell>
          <cell r="B17" t="e">
            <v>#REF!</v>
          </cell>
          <cell r="C17" t="e">
            <v>#REF!</v>
          </cell>
          <cell r="D17" t="e">
            <v>#REF!</v>
          </cell>
          <cell r="E17" t="e">
            <v>#REF!</v>
          </cell>
        </row>
        <row r="18">
          <cell r="A18" t="str">
            <v>Total O&amp;M Cost</v>
          </cell>
          <cell r="B18">
            <v>8100000</v>
          </cell>
          <cell r="C18">
            <v>3900000</v>
          </cell>
          <cell r="D18">
            <v>5250000</v>
          </cell>
          <cell r="E18">
            <v>6228000</v>
          </cell>
        </row>
        <row r="23">
          <cell r="A23" t="str">
            <v>Cumulative NET benefits</v>
          </cell>
          <cell r="B23" t="str">
            <v>n/a</v>
          </cell>
          <cell r="C23">
            <v>2340000</v>
          </cell>
          <cell r="D23">
            <v>2384000</v>
          </cell>
          <cell r="E23">
            <v>1472000</v>
          </cell>
        </row>
        <row r="24">
          <cell r="A24" t="str">
            <v>ROI: (bene-cost)/cost</v>
          </cell>
          <cell r="B24">
            <v>0</v>
          </cell>
          <cell r="C24">
            <v>0.9140625</v>
          </cell>
          <cell r="D24">
            <v>1.4309723889555823</v>
          </cell>
          <cell r="E24">
            <v>1.2266666666666666</v>
          </cell>
        </row>
      </sheetData>
      <sheetData sheetId="1">
        <row r="4">
          <cell r="M4">
            <v>8100000</v>
          </cell>
        </row>
        <row r="5">
          <cell r="M5">
            <v>8100000</v>
          </cell>
        </row>
        <row r="7">
          <cell r="M7">
            <v>8100000</v>
          </cell>
        </row>
      </sheetData>
      <sheetData sheetId="2">
        <row r="16">
          <cell r="M16">
            <v>2560000</v>
          </cell>
        </row>
        <row r="18">
          <cell r="M18">
            <v>3900000</v>
          </cell>
        </row>
        <row r="20">
          <cell r="M20">
            <v>3900000</v>
          </cell>
        </row>
        <row r="22">
          <cell r="M22">
            <v>6460000</v>
          </cell>
        </row>
        <row r="26">
          <cell r="M26">
            <v>4200000</v>
          </cell>
        </row>
        <row r="27">
          <cell r="M27">
            <v>0</v>
          </cell>
        </row>
        <row r="31">
          <cell r="M31">
            <v>4900000</v>
          </cell>
        </row>
        <row r="37">
          <cell r="M37">
            <v>0.9140625</v>
          </cell>
        </row>
      </sheetData>
      <sheetData sheetId="3">
        <row r="16">
          <cell r="M16">
            <v>1666000</v>
          </cell>
        </row>
        <row r="18">
          <cell r="M18">
            <v>5250000</v>
          </cell>
        </row>
        <row r="20">
          <cell r="M20">
            <v>5250000</v>
          </cell>
        </row>
        <row r="22">
          <cell r="M22">
            <v>6916000</v>
          </cell>
        </row>
        <row r="26">
          <cell r="M26">
            <v>2850000</v>
          </cell>
        </row>
        <row r="27">
          <cell r="M27">
            <v>0</v>
          </cell>
        </row>
        <row r="31">
          <cell r="M31">
            <v>4050000</v>
          </cell>
        </row>
        <row r="37">
          <cell r="M37">
            <v>1.4309723889555823</v>
          </cell>
        </row>
      </sheetData>
      <sheetData sheetId="4">
        <row r="16">
          <cell r="M16">
            <v>1200000</v>
          </cell>
        </row>
        <row r="18">
          <cell r="M18">
            <v>6228000</v>
          </cell>
        </row>
        <row r="20">
          <cell r="M20">
            <v>6228000</v>
          </cell>
        </row>
        <row r="22">
          <cell r="M22">
            <v>7428000</v>
          </cell>
        </row>
        <row r="26">
          <cell r="M26">
            <v>1872000</v>
          </cell>
        </row>
        <row r="27">
          <cell r="M27">
            <v>0</v>
          </cell>
        </row>
        <row r="31">
          <cell r="M31">
            <v>2672000</v>
          </cell>
        </row>
        <row r="37">
          <cell r="M37">
            <v>1.2266666666666666</v>
          </cell>
        </row>
      </sheetData>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trlProp" Target="../ctrlProps/ctrlProp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6"/>
  <sheetViews>
    <sheetView workbookViewId="0">
      <selection activeCell="K14" sqref="K14"/>
    </sheetView>
  </sheetViews>
  <sheetFormatPr defaultRowHeight="15"/>
  <cols>
    <col min="1" max="1" width="19.5703125" customWidth="1"/>
    <col min="2" max="2" width="48.28515625" customWidth="1"/>
  </cols>
  <sheetData>
    <row r="1" spans="1:3" ht="18">
      <c r="A1" s="103" t="s">
        <v>176</v>
      </c>
    </row>
    <row r="2" spans="1:3">
      <c r="A2" s="104"/>
    </row>
    <row r="3" spans="1:3" ht="15.75">
      <c r="A3" s="105" t="s">
        <v>177</v>
      </c>
    </row>
    <row r="4" spans="1:3" ht="16.5" thickBot="1">
      <c r="A4" s="106"/>
    </row>
    <row r="5" spans="1:3" ht="15.75" thickBot="1">
      <c r="A5" s="107" t="s">
        <v>178</v>
      </c>
      <c r="B5" s="108" t="s">
        <v>179</v>
      </c>
    </row>
    <row r="6" spans="1:3" ht="15.75" thickBot="1">
      <c r="A6" s="109" t="s">
        <v>180</v>
      </c>
      <c r="B6" s="110" t="s">
        <v>181</v>
      </c>
    </row>
    <row r="7" spans="1:3" ht="15.75" thickBot="1">
      <c r="A7" s="109" t="s">
        <v>182</v>
      </c>
      <c r="B7" s="110" t="s">
        <v>183</v>
      </c>
    </row>
    <row r="8" spans="1:3" ht="15.75" thickBot="1">
      <c r="A8" s="109" t="s">
        <v>184</v>
      </c>
      <c r="B8" s="110" t="s">
        <v>185</v>
      </c>
    </row>
    <row r="9" spans="1:3" ht="15.75" thickBot="1">
      <c r="A9" s="109" t="s">
        <v>186</v>
      </c>
      <c r="B9" s="110" t="s">
        <v>185</v>
      </c>
    </row>
    <row r="10" spans="1:3" ht="15.75" thickBot="1">
      <c r="A10" s="109" t="s">
        <v>187</v>
      </c>
      <c r="B10" s="111" t="s">
        <v>188</v>
      </c>
    </row>
    <row r="11" spans="1:3">
      <c r="A11" s="104"/>
    </row>
    <row r="12" spans="1:3" ht="15.75">
      <c r="A12" s="105" t="s">
        <v>189</v>
      </c>
    </row>
    <row r="13" spans="1:3" ht="16.5" thickBot="1">
      <c r="A13" s="106"/>
    </row>
    <row r="14" spans="1:3" ht="30.75" thickBot="1">
      <c r="A14" s="112" t="s">
        <v>190</v>
      </c>
      <c r="B14" s="108" t="s">
        <v>184</v>
      </c>
      <c r="C14" s="108" t="s">
        <v>191</v>
      </c>
    </row>
    <row r="15" spans="1:3" ht="100.5" thickBot="1">
      <c r="A15" s="113" t="s">
        <v>192</v>
      </c>
      <c r="B15" s="110" t="s">
        <v>185</v>
      </c>
      <c r="C15" s="110" t="s">
        <v>193</v>
      </c>
    </row>
    <row r="16" spans="1:3" ht="15.75" thickBot="1">
      <c r="A16" s="114"/>
      <c r="B16" s="115"/>
      <c r="C16" s="115"/>
    </row>
    <row r="17" spans="1:4" ht="15.75" thickBot="1">
      <c r="A17" s="114"/>
      <c r="B17" s="115"/>
      <c r="C17" s="115"/>
    </row>
    <row r="18" spans="1:4" ht="15.75" thickBot="1">
      <c r="A18" s="114"/>
      <c r="B18" s="115"/>
      <c r="C18" s="115"/>
    </row>
    <row r="19" spans="1:4">
      <c r="A19" s="104"/>
    </row>
    <row r="20" spans="1:4" ht="15.75">
      <c r="A20" s="105" t="s">
        <v>194</v>
      </c>
    </row>
    <row r="21" spans="1:4" ht="16.5" thickBot="1">
      <c r="A21" s="116"/>
    </row>
    <row r="22" spans="1:4" ht="30.75" thickBot="1">
      <c r="A22" s="112" t="s">
        <v>195</v>
      </c>
      <c r="B22" s="108" t="s">
        <v>196</v>
      </c>
      <c r="C22" s="108" t="s">
        <v>197</v>
      </c>
      <c r="D22" s="108" t="s">
        <v>131</v>
      </c>
    </row>
    <row r="23" spans="1:4">
      <c r="A23" s="170" t="s">
        <v>198</v>
      </c>
      <c r="B23" s="173"/>
      <c r="C23" s="173"/>
      <c r="D23" s="173"/>
    </row>
    <row r="24" spans="1:4">
      <c r="A24" s="171"/>
      <c r="B24" s="174"/>
      <c r="C24" s="174"/>
      <c r="D24" s="174"/>
    </row>
    <row r="25" spans="1:4" ht="15.75" thickBot="1">
      <c r="A25" s="172"/>
      <c r="B25" s="175"/>
      <c r="C25" s="175"/>
      <c r="D25" s="175"/>
    </row>
    <row r="26" spans="1:4">
      <c r="A26" s="176" t="s">
        <v>199</v>
      </c>
      <c r="B26" s="179"/>
      <c r="C26" s="179"/>
      <c r="D26" s="179"/>
    </row>
    <row r="27" spans="1:4">
      <c r="A27" s="177"/>
      <c r="B27" s="180"/>
      <c r="C27" s="180"/>
      <c r="D27" s="180"/>
    </row>
    <row r="28" spans="1:4" ht="15.75" thickBot="1">
      <c r="A28" s="178"/>
      <c r="B28" s="181"/>
      <c r="C28" s="181"/>
      <c r="D28" s="181"/>
    </row>
    <row r="29" spans="1:4">
      <c r="A29" s="176" t="s">
        <v>200</v>
      </c>
      <c r="B29" s="173"/>
      <c r="C29" s="173"/>
      <c r="D29" s="173"/>
    </row>
    <row r="30" spans="1:4">
      <c r="A30" s="177"/>
      <c r="B30" s="174"/>
      <c r="C30" s="174"/>
      <c r="D30" s="174"/>
    </row>
    <row r="31" spans="1:4" ht="15.75" thickBot="1">
      <c r="A31" s="178"/>
      <c r="B31" s="175"/>
      <c r="C31" s="175"/>
      <c r="D31" s="175"/>
    </row>
    <row r="32" spans="1:4">
      <c r="A32" s="117" t="s">
        <v>201</v>
      </c>
      <c r="B32" s="173"/>
      <c r="C32" s="173"/>
      <c r="D32" s="173"/>
    </row>
    <row r="33" spans="1:4">
      <c r="A33" s="120" t="s">
        <v>202</v>
      </c>
      <c r="B33" s="174"/>
      <c r="C33" s="174"/>
      <c r="D33" s="174"/>
    </row>
    <row r="34" spans="1:4" ht="15.75" thickBot="1">
      <c r="A34" s="114"/>
      <c r="B34" s="175"/>
      <c r="C34" s="175"/>
      <c r="D34" s="175"/>
    </row>
    <row r="35" spans="1:4" ht="28.5">
      <c r="A35" s="117" t="s">
        <v>203</v>
      </c>
      <c r="B35" s="179"/>
      <c r="C35" s="179"/>
      <c r="D35" s="179"/>
    </row>
    <row r="36" spans="1:4">
      <c r="A36" s="120" t="s">
        <v>202</v>
      </c>
      <c r="B36" s="180"/>
      <c r="C36" s="180"/>
      <c r="D36" s="180"/>
    </row>
    <row r="37" spans="1:4" ht="15.75" thickBot="1">
      <c r="A37" s="118"/>
      <c r="B37" s="181"/>
      <c r="C37" s="181"/>
      <c r="D37" s="181"/>
    </row>
    <row r="38" spans="1:4" ht="28.5">
      <c r="A38" s="117" t="s">
        <v>204</v>
      </c>
      <c r="B38" s="173"/>
      <c r="C38" s="173"/>
      <c r="D38" s="173"/>
    </row>
    <row r="39" spans="1:4">
      <c r="A39" s="120" t="s">
        <v>202</v>
      </c>
      <c r="B39" s="174"/>
      <c r="C39" s="174"/>
      <c r="D39" s="174"/>
    </row>
    <row r="40" spans="1:4" ht="15.75" thickBot="1">
      <c r="A40" s="118"/>
      <c r="B40" s="175"/>
      <c r="C40" s="175"/>
      <c r="D40" s="175"/>
    </row>
    <row r="41" spans="1:4" ht="28.5">
      <c r="A41" s="117" t="s">
        <v>205</v>
      </c>
      <c r="B41" s="179"/>
      <c r="C41" s="179"/>
      <c r="D41" s="179"/>
    </row>
    <row r="42" spans="1:4">
      <c r="A42" s="120" t="s">
        <v>202</v>
      </c>
      <c r="B42" s="180"/>
      <c r="C42" s="180"/>
      <c r="D42" s="180"/>
    </row>
    <row r="43" spans="1:4" ht="15.75" thickBot="1">
      <c r="A43" s="121"/>
      <c r="B43" s="181"/>
      <c r="C43" s="181"/>
      <c r="D43" s="181"/>
    </row>
    <row r="44" spans="1:4">
      <c r="A44" s="122"/>
    </row>
    <row r="45" spans="1:4">
      <c r="A45" s="122"/>
    </row>
    <row r="46" spans="1:4">
      <c r="A46" s="122"/>
    </row>
  </sheetData>
  <mergeCells count="24">
    <mergeCell ref="B41:B43"/>
    <mergeCell ref="C41:C43"/>
    <mergeCell ref="D41:D43"/>
    <mergeCell ref="B35:B37"/>
    <mergeCell ref="C35:C37"/>
    <mergeCell ref="D35:D37"/>
    <mergeCell ref="B38:B40"/>
    <mergeCell ref="C38:C40"/>
    <mergeCell ref="D38:D40"/>
    <mergeCell ref="A29:A31"/>
    <mergeCell ref="B29:B31"/>
    <mergeCell ref="C29:C31"/>
    <mergeCell ref="D29:D31"/>
    <mergeCell ref="B32:B34"/>
    <mergeCell ref="C32:C34"/>
    <mergeCell ref="D32:D34"/>
    <mergeCell ref="A23:A25"/>
    <mergeCell ref="B23:B25"/>
    <mergeCell ref="C23:C25"/>
    <mergeCell ref="D23:D25"/>
    <mergeCell ref="A26:A28"/>
    <mergeCell ref="B26:B28"/>
    <mergeCell ref="C26:C28"/>
    <mergeCell ref="D26:D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46519-7835-4ED6-8828-476FACF948AD}">
  <dimension ref="A1:I27"/>
  <sheetViews>
    <sheetView workbookViewId="0">
      <selection activeCell="C30" sqref="C30"/>
    </sheetView>
  </sheetViews>
  <sheetFormatPr defaultRowHeight="15"/>
  <cols>
    <col min="1" max="1" width="10" customWidth="1"/>
    <col min="2" max="2" width="16" customWidth="1"/>
    <col min="3" max="3" width="36" customWidth="1"/>
    <col min="4" max="5" width="10" customWidth="1"/>
    <col min="6" max="6" width="28" customWidth="1"/>
    <col min="7" max="7" width="24" customWidth="1"/>
    <col min="8" max="8" width="49.42578125" customWidth="1"/>
  </cols>
  <sheetData>
    <row r="1" spans="1:9" ht="21">
      <c r="A1" s="182" t="s">
        <v>44</v>
      </c>
      <c r="B1" s="183"/>
      <c r="C1" s="183"/>
      <c r="D1" s="183"/>
      <c r="E1" s="183"/>
      <c r="F1" s="183"/>
      <c r="G1" s="183"/>
      <c r="H1" s="183"/>
    </row>
    <row r="2" spans="1:9">
      <c r="A2" s="184" t="s">
        <v>0</v>
      </c>
      <c r="B2" s="185"/>
      <c r="C2" s="185"/>
      <c r="D2" s="185"/>
      <c r="E2" s="185"/>
      <c r="F2" s="185"/>
      <c r="G2" s="185"/>
      <c r="H2" s="185"/>
    </row>
    <row r="3" spans="1:9">
      <c r="A3" s="184" t="s">
        <v>1</v>
      </c>
      <c r="B3" s="185"/>
      <c r="C3" s="185"/>
      <c r="D3" s="185"/>
      <c r="E3" s="185"/>
      <c r="F3" s="185"/>
      <c r="G3" s="185"/>
      <c r="H3" s="185"/>
    </row>
    <row r="4" spans="1:9">
      <c r="A4" s="185" t="s">
        <v>2</v>
      </c>
      <c r="B4" s="185"/>
      <c r="C4" s="185"/>
      <c r="D4" s="185"/>
      <c r="E4" s="185"/>
      <c r="F4" s="185"/>
      <c r="G4" s="185"/>
      <c r="H4" s="185"/>
    </row>
    <row r="6" spans="1:9">
      <c r="A6" s="1" t="s">
        <v>3</v>
      </c>
      <c r="B6" s="1" t="s">
        <v>4</v>
      </c>
      <c r="C6" s="1" t="s">
        <v>5</v>
      </c>
      <c r="D6" s="1" t="s">
        <v>6</v>
      </c>
      <c r="E6" s="1" t="s">
        <v>7</v>
      </c>
      <c r="F6" s="1" t="s">
        <v>8</v>
      </c>
      <c r="G6" s="1" t="s">
        <v>9</v>
      </c>
      <c r="H6" s="1" t="s">
        <v>10</v>
      </c>
    </row>
    <row r="7" spans="1:9" ht="102">
      <c r="A7" s="2" t="s">
        <v>11</v>
      </c>
      <c r="B7" s="2" t="s">
        <v>12</v>
      </c>
      <c r="C7" s="2" t="s">
        <v>13</v>
      </c>
      <c r="D7" s="2" t="s">
        <v>14</v>
      </c>
      <c r="E7" s="2" t="s">
        <v>15</v>
      </c>
      <c r="F7" s="2" t="s">
        <v>16</v>
      </c>
      <c r="G7" s="2" t="s">
        <v>17</v>
      </c>
      <c r="H7" s="2" t="s">
        <v>18</v>
      </c>
    </row>
    <row r="8" spans="1:9">
      <c r="A8" s="277">
        <v>1</v>
      </c>
      <c r="B8" s="277" t="s">
        <v>19</v>
      </c>
      <c r="C8" s="277" t="s">
        <v>20</v>
      </c>
      <c r="D8" s="277" t="s">
        <v>21</v>
      </c>
      <c r="E8" s="277">
        <v>1</v>
      </c>
      <c r="F8" s="277" t="s">
        <v>22</v>
      </c>
      <c r="G8" s="277"/>
      <c r="H8" s="277" t="s">
        <v>23</v>
      </c>
      <c r="I8" s="277"/>
    </row>
    <row r="9" spans="1:9">
      <c r="A9" s="277">
        <v>2</v>
      </c>
      <c r="B9" s="277" t="s">
        <v>24</v>
      </c>
      <c r="C9" s="277" t="s">
        <v>25</v>
      </c>
      <c r="D9" s="277" t="s">
        <v>26</v>
      </c>
      <c r="E9" s="277">
        <v>1</v>
      </c>
      <c r="F9" s="277" t="s">
        <v>27</v>
      </c>
      <c r="G9" s="277"/>
      <c r="H9" s="277" t="s">
        <v>28</v>
      </c>
      <c r="I9" s="277"/>
    </row>
    <row r="10" spans="1:9">
      <c r="A10" s="277">
        <v>3</v>
      </c>
      <c r="B10" s="277" t="s">
        <v>29</v>
      </c>
      <c r="C10" s="277" t="s">
        <v>30</v>
      </c>
      <c r="D10" s="277" t="s">
        <v>26</v>
      </c>
      <c r="E10" s="277">
        <v>1</v>
      </c>
      <c r="F10" s="277" t="s">
        <v>31</v>
      </c>
      <c r="G10" s="277"/>
      <c r="H10" s="277" t="s">
        <v>32</v>
      </c>
      <c r="I10" s="277"/>
    </row>
    <row r="11" spans="1:9">
      <c r="A11" s="277">
        <v>4</v>
      </c>
      <c r="B11" s="277" t="s">
        <v>33</v>
      </c>
      <c r="C11" s="277" t="s">
        <v>34</v>
      </c>
      <c r="D11" s="277" t="s">
        <v>21</v>
      </c>
      <c r="E11" s="277">
        <v>1</v>
      </c>
      <c r="F11" s="277" t="s">
        <v>35</v>
      </c>
      <c r="G11" s="277" t="s">
        <v>36</v>
      </c>
      <c r="H11" s="277" t="s">
        <v>37</v>
      </c>
      <c r="I11" s="277"/>
    </row>
    <row r="12" spans="1:9">
      <c r="A12" s="277">
        <v>5</v>
      </c>
      <c r="B12" s="277" t="s">
        <v>38</v>
      </c>
      <c r="C12" s="277" t="s">
        <v>39</v>
      </c>
      <c r="D12" s="277" t="s">
        <v>40</v>
      </c>
      <c r="E12" s="277">
        <v>1</v>
      </c>
      <c r="F12" s="277" t="s">
        <v>41</v>
      </c>
      <c r="G12" s="277" t="s">
        <v>42</v>
      </c>
      <c r="H12" s="277" t="s">
        <v>43</v>
      </c>
      <c r="I12" s="277"/>
    </row>
    <row r="13" spans="1:9">
      <c r="A13" s="277"/>
      <c r="B13" s="277"/>
      <c r="C13" s="277"/>
      <c r="D13" s="277"/>
      <c r="E13" s="277"/>
      <c r="F13" s="277"/>
      <c r="G13" s="277"/>
      <c r="H13" s="277"/>
      <c r="I13" s="277"/>
    </row>
    <row r="16" spans="1:9" ht="21">
      <c r="A16" s="186" t="s">
        <v>307</v>
      </c>
      <c r="B16" s="183"/>
      <c r="C16" s="183"/>
      <c r="D16" s="183"/>
      <c r="E16" s="183"/>
      <c r="F16" s="183"/>
      <c r="G16" s="183"/>
      <c r="H16" s="183"/>
    </row>
    <row r="17" spans="1:9">
      <c r="A17" s="146" t="s">
        <v>307</v>
      </c>
    </row>
    <row r="18" spans="1:9">
      <c r="A18" t="s">
        <v>308</v>
      </c>
    </row>
    <row r="19" spans="1:9">
      <c r="A19" t="s">
        <v>309</v>
      </c>
    </row>
    <row r="20" spans="1:9">
      <c r="A20" t="s">
        <v>310</v>
      </c>
    </row>
    <row r="21" spans="1:9">
      <c r="A21" s="1" t="s">
        <v>3</v>
      </c>
      <c r="B21" s="1" t="s">
        <v>4</v>
      </c>
      <c r="C21" s="1" t="s">
        <v>5</v>
      </c>
      <c r="D21" s="1" t="s">
        <v>7</v>
      </c>
      <c r="E21" s="1" t="s">
        <v>277</v>
      </c>
      <c r="F21" s="1" t="s">
        <v>278</v>
      </c>
      <c r="G21" s="1" t="s">
        <v>279</v>
      </c>
      <c r="H21" s="1" t="s">
        <v>280</v>
      </c>
      <c r="I21" s="1" t="s">
        <v>125</v>
      </c>
    </row>
    <row r="22" spans="1:9">
      <c r="A22" s="278">
        <v>1</v>
      </c>
      <c r="B22" s="278" t="s">
        <v>281</v>
      </c>
      <c r="C22" s="278" t="s">
        <v>282</v>
      </c>
      <c r="D22" s="278">
        <v>2</v>
      </c>
      <c r="E22" s="278" t="s">
        <v>283</v>
      </c>
      <c r="F22" s="278" t="s">
        <v>284</v>
      </c>
      <c r="G22" s="278" t="s">
        <v>285</v>
      </c>
      <c r="H22" s="278" t="s">
        <v>286</v>
      </c>
      <c r="I22" s="119">
        <v>50</v>
      </c>
    </row>
    <row r="23" spans="1:9">
      <c r="A23" s="278">
        <v>2</v>
      </c>
      <c r="B23" s="278" t="s">
        <v>287</v>
      </c>
      <c r="C23" s="278" t="s">
        <v>288</v>
      </c>
      <c r="D23" s="278">
        <v>1</v>
      </c>
      <c r="E23" s="278" t="s">
        <v>289</v>
      </c>
      <c r="F23" s="278" t="s">
        <v>290</v>
      </c>
      <c r="G23" s="278" t="s">
        <v>291</v>
      </c>
      <c r="H23" s="278" t="s">
        <v>292</v>
      </c>
      <c r="I23" s="119">
        <v>15</v>
      </c>
    </row>
    <row r="24" spans="1:9">
      <c r="A24" s="278">
        <v>3</v>
      </c>
      <c r="B24" s="278" t="s">
        <v>293</v>
      </c>
      <c r="C24" s="278" t="s">
        <v>294</v>
      </c>
      <c r="D24" s="278">
        <v>1</v>
      </c>
      <c r="E24" s="278" t="s">
        <v>289</v>
      </c>
      <c r="F24" s="278" t="s">
        <v>295</v>
      </c>
      <c r="G24" s="278" t="s">
        <v>296</v>
      </c>
      <c r="H24" s="278" t="s">
        <v>297</v>
      </c>
      <c r="I24" s="119">
        <v>35</v>
      </c>
    </row>
    <row r="25" spans="1:9">
      <c r="A25" s="278">
        <v>4</v>
      </c>
      <c r="B25" s="278" t="s">
        <v>298</v>
      </c>
      <c r="C25" s="278" t="s">
        <v>299</v>
      </c>
      <c r="D25" s="278">
        <v>1</v>
      </c>
      <c r="E25" s="278" t="s">
        <v>289</v>
      </c>
      <c r="F25" s="278" t="s">
        <v>300</v>
      </c>
      <c r="G25" s="278" t="s">
        <v>301</v>
      </c>
      <c r="H25" s="278" t="s">
        <v>302</v>
      </c>
      <c r="I25" s="119">
        <v>2</v>
      </c>
    </row>
    <row r="26" spans="1:9">
      <c r="A26" s="278">
        <v>5</v>
      </c>
      <c r="B26" s="278" t="s">
        <v>303</v>
      </c>
      <c r="C26" s="278" t="s">
        <v>304</v>
      </c>
      <c r="D26" s="278">
        <v>50</v>
      </c>
      <c r="E26" s="278" t="s">
        <v>305</v>
      </c>
      <c r="F26" s="278" t="s">
        <v>290</v>
      </c>
      <c r="G26" s="278" t="s">
        <v>301</v>
      </c>
      <c r="H26" s="278" t="s">
        <v>306</v>
      </c>
      <c r="I26" s="119">
        <v>10</v>
      </c>
    </row>
    <row r="27" spans="1:9">
      <c r="A27" s="277"/>
      <c r="B27" s="277"/>
      <c r="C27" s="277"/>
      <c r="D27" s="277"/>
      <c r="E27" s="277"/>
      <c r="F27" s="277"/>
      <c r="G27" s="277"/>
      <c r="H27" s="277"/>
    </row>
  </sheetData>
  <mergeCells count="5">
    <mergeCell ref="A1:H1"/>
    <mergeCell ref="A2:H2"/>
    <mergeCell ref="A3:H3"/>
    <mergeCell ref="A4:H4"/>
    <mergeCell ref="A16:H16"/>
  </mergeCells>
  <dataValidations count="2">
    <dataValidation type="custom" showInputMessage="1" showErrorMessage="1" error="Revision should be a single character, such as A, B, C, or use - if not applicable." prompt="Single character revision (A, B, C). Use - if not applicable." sqref="D8:D15 D17 D27 D31:D1048576" xr:uid="{961B9EFD-B55D-4899-B0BF-267DE17D4A1A}">
      <formula1>OR(EXACT(LEN(D8),1),D8="-")</formula1>
    </dataValidation>
    <dataValidation type="whole" operator="greaterThanOrEqual" showInputMessage="1" showErrorMessage="1" error="Quantity must be a non-negative whole number." prompt="Enter the quantity required per one top-level assembly." sqref="E8:E15 E17 E27 E31:E1048576" xr:uid="{B84D5C04-42F1-4719-9D39-39AB07329621}">
      <formula1>0</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FF703-44D7-428F-8FEE-D104F46ABDE2}">
  <dimension ref="B1:X51"/>
  <sheetViews>
    <sheetView workbookViewId="0">
      <selection activeCell="N10" sqref="N10"/>
    </sheetView>
  </sheetViews>
  <sheetFormatPr defaultRowHeight="15"/>
  <cols>
    <col min="3" max="3" width="15.5703125" customWidth="1"/>
  </cols>
  <sheetData>
    <row r="1" spans="2:24" ht="36.75" thickBot="1">
      <c r="B1" s="60"/>
      <c r="C1" s="60"/>
      <c r="D1" s="60"/>
      <c r="E1" s="60"/>
      <c r="F1" s="60"/>
      <c r="G1" s="60"/>
      <c r="H1" s="60"/>
      <c r="I1" s="60"/>
      <c r="J1" s="60"/>
      <c r="K1" s="60"/>
      <c r="L1" s="60"/>
      <c r="O1" s="123" t="s">
        <v>160</v>
      </c>
      <c r="P1" s="124" t="s">
        <v>206</v>
      </c>
      <c r="Q1" s="125" t="s">
        <v>5</v>
      </c>
      <c r="R1" s="125" t="s">
        <v>207</v>
      </c>
      <c r="S1" s="125" t="s">
        <v>130</v>
      </c>
      <c r="T1" s="125" t="s">
        <v>123</v>
      </c>
      <c r="U1" s="125" t="s">
        <v>208</v>
      </c>
      <c r="V1" s="125" t="s">
        <v>209</v>
      </c>
      <c r="W1" s="125" t="s">
        <v>210</v>
      </c>
      <c r="X1" s="125" t="s">
        <v>211</v>
      </c>
    </row>
    <row r="2" spans="2:24" ht="16.5" thickBot="1">
      <c r="B2" s="187" t="s">
        <v>118</v>
      </c>
      <c r="C2" s="187"/>
      <c r="D2" s="60"/>
      <c r="E2" s="60"/>
      <c r="F2" s="60"/>
      <c r="G2" s="60"/>
      <c r="H2" s="60"/>
      <c r="I2" s="60"/>
      <c r="J2" s="60"/>
      <c r="K2" s="60"/>
      <c r="L2" s="60"/>
      <c r="O2" s="126">
        <v>1</v>
      </c>
      <c r="P2" s="127" t="s">
        <v>212</v>
      </c>
      <c r="Q2" s="127" t="s">
        <v>213</v>
      </c>
      <c r="R2" s="128">
        <v>43745</v>
      </c>
      <c r="S2" s="129" t="s">
        <v>214</v>
      </c>
      <c r="T2" s="130" t="s">
        <v>215</v>
      </c>
      <c r="U2" s="127" t="s">
        <v>216</v>
      </c>
      <c r="V2" s="127" t="s">
        <v>217</v>
      </c>
      <c r="W2" s="127" t="s">
        <v>218</v>
      </c>
      <c r="X2" s="127" t="s">
        <v>127</v>
      </c>
    </row>
    <row r="3" spans="2:24" ht="15.75" thickBot="1">
      <c r="B3" s="62"/>
      <c r="C3" s="60"/>
      <c r="D3" s="60"/>
      <c r="E3" s="60"/>
      <c r="F3" s="60"/>
      <c r="G3" s="60"/>
      <c r="H3" s="60"/>
      <c r="I3" s="60"/>
      <c r="J3" s="60"/>
      <c r="K3" s="60"/>
      <c r="L3" s="60"/>
      <c r="O3" s="126">
        <v>2</v>
      </c>
      <c r="P3" s="127" t="s">
        <v>212</v>
      </c>
      <c r="Q3" s="127" t="s">
        <v>219</v>
      </c>
      <c r="R3" s="128">
        <v>43776</v>
      </c>
      <c r="S3" s="129" t="s">
        <v>220</v>
      </c>
      <c r="T3" s="130" t="s">
        <v>215</v>
      </c>
      <c r="U3" s="127" t="s">
        <v>221</v>
      </c>
      <c r="V3" s="127" t="s">
        <v>217</v>
      </c>
      <c r="W3" s="127" t="s">
        <v>222</v>
      </c>
      <c r="X3" s="127" t="s">
        <v>223</v>
      </c>
    </row>
    <row r="4" spans="2:24" ht="15.75" thickBot="1">
      <c r="B4" s="188" t="s">
        <v>119</v>
      </c>
      <c r="C4" s="188"/>
      <c r="D4" s="60"/>
      <c r="E4" s="60"/>
      <c r="F4" s="60"/>
      <c r="G4" s="60"/>
      <c r="H4" s="60"/>
      <c r="I4" s="60"/>
      <c r="J4" s="60"/>
      <c r="K4" s="60"/>
      <c r="L4" s="60"/>
      <c r="O4" s="126">
        <v>3</v>
      </c>
      <c r="P4" s="127" t="s">
        <v>212</v>
      </c>
      <c r="Q4" s="127" t="s">
        <v>224</v>
      </c>
      <c r="R4" s="128">
        <v>43806</v>
      </c>
      <c r="S4" s="129" t="s">
        <v>225</v>
      </c>
      <c r="T4" s="131" t="s">
        <v>226</v>
      </c>
      <c r="U4" s="127" t="s">
        <v>227</v>
      </c>
      <c r="V4" s="127" t="s">
        <v>217</v>
      </c>
      <c r="W4" s="127" t="s">
        <v>228</v>
      </c>
      <c r="X4" s="127" t="s">
        <v>223</v>
      </c>
    </row>
    <row r="5" spans="2:24" ht="15.75" thickBot="1">
      <c r="B5" s="188" t="s">
        <v>120</v>
      </c>
      <c r="C5" s="188"/>
      <c r="D5" s="60"/>
      <c r="E5" s="60"/>
      <c r="F5" s="60"/>
      <c r="G5" s="60"/>
      <c r="H5" s="60"/>
      <c r="I5" s="60"/>
      <c r="J5" s="60"/>
      <c r="K5" s="60"/>
      <c r="L5" s="60"/>
      <c r="O5" s="126">
        <v>4</v>
      </c>
      <c r="P5" s="127" t="s">
        <v>229</v>
      </c>
      <c r="Q5" s="127" t="s">
        <v>230</v>
      </c>
      <c r="R5" s="132" t="s">
        <v>231</v>
      </c>
      <c r="S5" s="129" t="s">
        <v>232</v>
      </c>
      <c r="T5" s="133" t="s">
        <v>233</v>
      </c>
      <c r="U5" s="127" t="s">
        <v>234</v>
      </c>
      <c r="V5" s="127" t="s">
        <v>235</v>
      </c>
      <c r="W5" s="127" t="s">
        <v>236</v>
      </c>
      <c r="X5" s="127" t="s">
        <v>237</v>
      </c>
    </row>
    <row r="6" spans="2:24" ht="15.75" thickBot="1">
      <c r="B6" s="62"/>
      <c r="C6" s="60"/>
      <c r="D6" s="60"/>
      <c r="E6" s="60"/>
      <c r="F6" s="60"/>
      <c r="G6" s="60"/>
      <c r="H6" s="60"/>
      <c r="I6" s="60"/>
      <c r="J6" s="60"/>
      <c r="K6" s="60"/>
      <c r="L6" s="60"/>
      <c r="O6" s="126">
        <v>5</v>
      </c>
      <c r="P6" s="127" t="s">
        <v>238</v>
      </c>
      <c r="Q6" s="127" t="s">
        <v>239</v>
      </c>
      <c r="R6" s="132" t="s">
        <v>240</v>
      </c>
      <c r="S6" s="129" t="s">
        <v>241</v>
      </c>
      <c r="T6" s="134" t="s">
        <v>242</v>
      </c>
      <c r="U6" s="127" t="s">
        <v>243</v>
      </c>
      <c r="V6" s="127" t="s">
        <v>244</v>
      </c>
      <c r="W6" s="127" t="s">
        <v>236</v>
      </c>
      <c r="X6" s="127" t="s">
        <v>237</v>
      </c>
    </row>
    <row r="7" spans="2:24">
      <c r="B7" s="65"/>
      <c r="C7" s="65"/>
      <c r="D7" s="65"/>
      <c r="E7" s="189" t="s">
        <v>121</v>
      </c>
      <c r="F7" s="190"/>
      <c r="G7" s="190"/>
      <c r="H7" s="190"/>
      <c r="I7" s="191"/>
      <c r="J7" s="65"/>
      <c r="K7" s="65"/>
      <c r="L7" s="65"/>
    </row>
    <row r="8" spans="2:24">
      <c r="B8" s="65" t="s">
        <v>122</v>
      </c>
      <c r="C8" s="65" t="s">
        <v>5</v>
      </c>
      <c r="D8" s="65" t="s">
        <v>123</v>
      </c>
      <c r="E8" s="65" t="s">
        <v>124</v>
      </c>
      <c r="F8" s="65" t="s">
        <v>125</v>
      </c>
      <c r="G8" s="65" t="s">
        <v>126</v>
      </c>
      <c r="H8" s="65" t="s">
        <v>127</v>
      </c>
      <c r="I8" s="65" t="s">
        <v>128</v>
      </c>
      <c r="J8" s="65" t="s">
        <v>129</v>
      </c>
      <c r="K8" s="65" t="s">
        <v>130</v>
      </c>
      <c r="L8" s="65" t="s">
        <v>131</v>
      </c>
    </row>
    <row r="9" spans="2:24" ht="51.75">
      <c r="B9" s="63" t="s">
        <v>132</v>
      </c>
      <c r="C9" s="64" t="s">
        <v>133</v>
      </c>
      <c r="D9" s="64" t="s">
        <v>134</v>
      </c>
      <c r="E9" s="64" t="s">
        <v>135</v>
      </c>
      <c r="F9" s="64" t="s">
        <v>136</v>
      </c>
      <c r="G9" s="64" t="s">
        <v>137</v>
      </c>
      <c r="H9" s="64" t="s">
        <v>134</v>
      </c>
      <c r="I9" s="64" t="s">
        <v>134</v>
      </c>
      <c r="J9" s="64" t="s">
        <v>138</v>
      </c>
      <c r="K9" s="64" t="s">
        <v>139</v>
      </c>
      <c r="L9" s="64" t="s">
        <v>140</v>
      </c>
    </row>
    <row r="10" spans="2:24">
      <c r="B10" s="61"/>
      <c r="C10" s="61"/>
      <c r="D10" s="61"/>
      <c r="E10" s="61"/>
      <c r="F10" s="61"/>
      <c r="G10" s="61"/>
      <c r="H10" s="61"/>
      <c r="I10" s="61"/>
      <c r="J10" s="61"/>
      <c r="K10" s="61"/>
      <c r="L10" s="61"/>
    </row>
    <row r="11" spans="2:24">
      <c r="B11" s="61"/>
      <c r="C11" s="61"/>
      <c r="D11" s="61"/>
      <c r="E11" s="61"/>
      <c r="F11" s="61"/>
      <c r="G11" s="61"/>
      <c r="H11" s="61"/>
      <c r="I11" s="61"/>
      <c r="J11" s="61"/>
      <c r="K11" s="61"/>
      <c r="L11" s="61"/>
    </row>
    <row r="12" spans="2:24">
      <c r="B12" s="61"/>
      <c r="C12" s="61"/>
      <c r="D12" s="61"/>
      <c r="E12" s="61"/>
      <c r="F12" s="61"/>
      <c r="G12" s="61"/>
      <c r="H12" s="61"/>
      <c r="I12" s="61"/>
      <c r="J12" s="61"/>
      <c r="K12" s="61"/>
      <c r="L12" s="61"/>
    </row>
    <row r="13" spans="2:24">
      <c r="B13" s="61"/>
      <c r="C13" s="61"/>
      <c r="D13" s="61"/>
      <c r="E13" s="61"/>
      <c r="F13" s="61"/>
      <c r="G13" s="61"/>
      <c r="H13" s="61"/>
      <c r="I13" s="61"/>
      <c r="J13" s="61"/>
      <c r="K13" s="61"/>
      <c r="L13" s="61"/>
    </row>
    <row r="14" spans="2:24">
      <c r="B14" s="61"/>
      <c r="C14" s="61"/>
      <c r="D14" s="61"/>
      <c r="E14" s="61"/>
      <c r="F14" s="61"/>
      <c r="G14" s="61"/>
      <c r="H14" s="61"/>
      <c r="I14" s="61"/>
      <c r="J14" s="61"/>
      <c r="K14" s="61"/>
      <c r="L14" s="61"/>
    </row>
    <row r="15" spans="2:24">
      <c r="B15" s="61"/>
      <c r="C15" s="61"/>
      <c r="D15" s="61"/>
      <c r="E15" s="61"/>
      <c r="F15" s="61"/>
      <c r="G15" s="61"/>
      <c r="H15" s="61"/>
      <c r="I15" s="61"/>
      <c r="J15" s="61"/>
      <c r="K15" s="61"/>
      <c r="L15" s="61"/>
    </row>
    <row r="16" spans="2:24">
      <c r="B16" s="61"/>
      <c r="C16" s="61"/>
      <c r="D16" s="61"/>
      <c r="E16" s="61"/>
      <c r="F16" s="61"/>
      <c r="G16" s="61"/>
      <c r="H16" s="61"/>
      <c r="I16" s="61"/>
      <c r="J16" s="61"/>
      <c r="K16" s="61"/>
      <c r="L16" s="61"/>
    </row>
    <row r="17" spans="2:12">
      <c r="B17" s="61"/>
      <c r="C17" s="61"/>
      <c r="D17" s="61"/>
      <c r="E17" s="61"/>
      <c r="F17" s="61"/>
      <c r="G17" s="61"/>
      <c r="H17" s="61"/>
      <c r="I17" s="61"/>
      <c r="J17" s="61"/>
      <c r="K17" s="61"/>
      <c r="L17" s="61"/>
    </row>
    <row r="18" spans="2:12">
      <c r="B18" s="61"/>
      <c r="C18" s="61"/>
      <c r="D18" s="61"/>
      <c r="E18" s="61"/>
      <c r="F18" s="61"/>
      <c r="G18" s="61"/>
      <c r="H18" s="61"/>
      <c r="I18" s="61"/>
      <c r="J18" s="61"/>
      <c r="K18" s="61"/>
      <c r="L18" s="61"/>
    </row>
    <row r="19" spans="2:12">
      <c r="B19" s="61"/>
      <c r="C19" s="61"/>
      <c r="D19" s="61"/>
      <c r="E19" s="61"/>
      <c r="F19" s="61"/>
      <c r="G19" s="61"/>
      <c r="H19" s="61"/>
      <c r="I19" s="61"/>
      <c r="J19" s="61"/>
      <c r="K19" s="61"/>
      <c r="L19" s="61"/>
    </row>
    <row r="20" spans="2:12">
      <c r="B20" s="61"/>
      <c r="C20" s="61"/>
      <c r="D20" s="61"/>
      <c r="E20" s="61"/>
      <c r="F20" s="61"/>
      <c r="G20" s="61"/>
      <c r="H20" s="61"/>
      <c r="I20" s="61"/>
      <c r="J20" s="61"/>
      <c r="K20" s="61"/>
      <c r="L20" s="61"/>
    </row>
    <row r="21" spans="2:12">
      <c r="B21" s="61"/>
      <c r="C21" s="61"/>
      <c r="D21" s="61"/>
      <c r="E21" s="61"/>
      <c r="F21" s="61"/>
      <c r="G21" s="61"/>
      <c r="H21" s="61"/>
      <c r="I21" s="61"/>
      <c r="J21" s="61"/>
      <c r="K21" s="61"/>
      <c r="L21" s="61"/>
    </row>
    <row r="22" spans="2:12">
      <c r="B22" s="61"/>
      <c r="C22" s="61"/>
      <c r="D22" s="61"/>
      <c r="E22" s="61"/>
      <c r="F22" s="61"/>
      <c r="G22" s="61"/>
      <c r="H22" s="61"/>
      <c r="I22" s="61"/>
      <c r="J22" s="61"/>
      <c r="K22" s="61"/>
      <c r="L22" s="61"/>
    </row>
    <row r="23" spans="2:12">
      <c r="B23" s="61"/>
      <c r="C23" s="61"/>
      <c r="D23" s="61"/>
      <c r="E23" s="61"/>
      <c r="F23" s="61"/>
      <c r="G23" s="61"/>
      <c r="H23" s="61"/>
      <c r="I23" s="61"/>
      <c r="J23" s="61"/>
      <c r="K23" s="61"/>
      <c r="L23" s="61"/>
    </row>
    <row r="24" spans="2:12">
      <c r="B24" s="61"/>
      <c r="C24" s="61"/>
      <c r="D24" s="61"/>
      <c r="E24" s="61"/>
      <c r="F24" s="61"/>
      <c r="G24" s="61"/>
      <c r="H24" s="61"/>
      <c r="I24" s="61"/>
      <c r="J24" s="61"/>
      <c r="K24" s="61"/>
      <c r="L24" s="61"/>
    </row>
    <row r="25" spans="2:12">
      <c r="B25" s="61"/>
      <c r="C25" s="61"/>
      <c r="D25" s="61"/>
      <c r="E25" s="61"/>
      <c r="F25" s="61"/>
      <c r="G25" s="61"/>
      <c r="H25" s="61"/>
      <c r="I25" s="61"/>
      <c r="J25" s="61"/>
      <c r="K25" s="61"/>
      <c r="L25" s="61"/>
    </row>
    <row r="26" spans="2:12">
      <c r="B26" s="61"/>
      <c r="C26" s="61"/>
      <c r="D26" s="61"/>
      <c r="E26" s="61"/>
      <c r="F26" s="61"/>
      <c r="G26" s="61"/>
      <c r="H26" s="61"/>
      <c r="I26" s="61"/>
      <c r="J26" s="61"/>
      <c r="K26" s="61"/>
      <c r="L26" s="61"/>
    </row>
    <row r="27" spans="2:12">
      <c r="B27" s="61"/>
      <c r="C27" s="61"/>
      <c r="D27" s="61"/>
      <c r="E27" s="61"/>
      <c r="F27" s="61"/>
      <c r="G27" s="61"/>
      <c r="H27" s="61"/>
      <c r="I27" s="61"/>
      <c r="J27" s="61"/>
      <c r="K27" s="61"/>
      <c r="L27" s="61"/>
    </row>
    <row r="28" spans="2:12">
      <c r="B28" s="61"/>
      <c r="C28" s="61"/>
      <c r="D28" s="61"/>
      <c r="E28" s="61"/>
      <c r="F28" s="61"/>
      <c r="G28" s="61"/>
      <c r="H28" s="61"/>
      <c r="I28" s="61"/>
      <c r="J28" s="61"/>
      <c r="K28" s="61"/>
      <c r="L28" s="61"/>
    </row>
    <row r="29" spans="2:12">
      <c r="B29" s="61"/>
      <c r="C29" s="61"/>
      <c r="D29" s="61"/>
      <c r="E29" s="61"/>
      <c r="F29" s="61"/>
      <c r="G29" s="61"/>
      <c r="H29" s="61"/>
      <c r="I29" s="61"/>
      <c r="J29" s="61"/>
      <c r="K29" s="61"/>
      <c r="L29" s="61"/>
    </row>
    <row r="30" spans="2:12">
      <c r="B30" s="61"/>
      <c r="C30" s="61"/>
      <c r="D30" s="61"/>
      <c r="E30" s="61"/>
      <c r="F30" s="61"/>
      <c r="G30" s="61"/>
      <c r="H30" s="61"/>
      <c r="I30" s="61"/>
      <c r="J30" s="61"/>
      <c r="K30" s="61"/>
      <c r="L30" s="61"/>
    </row>
    <row r="31" spans="2:12">
      <c r="B31" s="61"/>
      <c r="C31" s="61"/>
      <c r="D31" s="61"/>
      <c r="E31" s="61"/>
      <c r="F31" s="61"/>
      <c r="G31" s="61"/>
      <c r="H31" s="61"/>
      <c r="I31" s="61"/>
      <c r="J31" s="61"/>
      <c r="K31" s="61"/>
      <c r="L31" s="61"/>
    </row>
    <row r="32" spans="2:12">
      <c r="B32" s="61"/>
      <c r="C32" s="61"/>
      <c r="D32" s="61"/>
      <c r="E32" s="61"/>
      <c r="F32" s="61"/>
      <c r="G32" s="61"/>
      <c r="H32" s="61"/>
      <c r="I32" s="61"/>
      <c r="J32" s="61"/>
      <c r="K32" s="61"/>
      <c r="L32" s="61"/>
    </row>
    <row r="33" spans="2:12">
      <c r="B33" s="61"/>
      <c r="C33" s="61"/>
      <c r="D33" s="61"/>
      <c r="E33" s="61"/>
      <c r="F33" s="61"/>
      <c r="G33" s="61"/>
      <c r="H33" s="61"/>
      <c r="I33" s="61"/>
      <c r="J33" s="61"/>
      <c r="K33" s="61"/>
      <c r="L33" s="61"/>
    </row>
    <row r="34" spans="2:12">
      <c r="B34" s="61"/>
      <c r="C34" s="61"/>
      <c r="D34" s="61"/>
      <c r="E34" s="61"/>
      <c r="F34" s="61"/>
      <c r="G34" s="61"/>
      <c r="H34" s="61"/>
      <c r="I34" s="61"/>
      <c r="J34" s="61"/>
      <c r="K34" s="61"/>
      <c r="L34" s="61"/>
    </row>
    <row r="35" spans="2:12">
      <c r="B35" s="61"/>
      <c r="C35" s="61"/>
      <c r="D35" s="61"/>
      <c r="E35" s="61"/>
      <c r="F35" s="61"/>
      <c r="G35" s="61"/>
      <c r="H35" s="61"/>
      <c r="I35" s="61"/>
      <c r="J35" s="61"/>
      <c r="K35" s="61"/>
      <c r="L35" s="61"/>
    </row>
    <row r="37" spans="2:12">
      <c r="B37" s="62" t="s">
        <v>141</v>
      </c>
      <c r="C37" s="60"/>
      <c r="D37" s="60"/>
      <c r="E37" s="60"/>
      <c r="F37" s="60"/>
      <c r="G37" s="60"/>
      <c r="H37" s="60"/>
      <c r="I37" s="60"/>
      <c r="J37" s="60"/>
      <c r="K37" s="60"/>
      <c r="L37" s="60"/>
    </row>
    <row r="39" spans="2:12">
      <c r="B39" s="62" t="s">
        <v>142</v>
      </c>
      <c r="C39" s="60"/>
      <c r="D39" s="60"/>
      <c r="E39" s="60"/>
      <c r="F39" s="60"/>
      <c r="G39" s="60"/>
      <c r="H39" s="60"/>
      <c r="I39" s="60"/>
      <c r="J39" s="60"/>
      <c r="K39" s="60"/>
      <c r="L39" s="60"/>
    </row>
    <row r="40" spans="2:12">
      <c r="B40" s="62" t="s">
        <v>143</v>
      </c>
      <c r="C40" s="60"/>
      <c r="D40" s="60"/>
      <c r="E40" s="60"/>
      <c r="F40" s="60"/>
      <c r="G40" s="60"/>
      <c r="H40" s="60"/>
      <c r="I40" s="60"/>
      <c r="J40" s="60"/>
      <c r="K40" s="60"/>
      <c r="L40" s="60"/>
    </row>
    <row r="41" spans="2:12">
      <c r="B41" s="62" t="s">
        <v>144</v>
      </c>
      <c r="C41" s="60"/>
      <c r="D41" s="60"/>
      <c r="E41" s="60"/>
      <c r="F41" s="60"/>
      <c r="G41" s="60"/>
      <c r="H41" s="60"/>
      <c r="I41" s="60"/>
      <c r="J41" s="60"/>
      <c r="K41" s="60"/>
      <c r="L41" s="60"/>
    </row>
    <row r="42" spans="2:12">
      <c r="B42" s="62" t="s">
        <v>145</v>
      </c>
      <c r="C42" s="60"/>
      <c r="D42" s="60"/>
      <c r="E42" s="60"/>
      <c r="F42" s="60"/>
      <c r="G42" s="60"/>
      <c r="H42" s="60"/>
      <c r="I42" s="60"/>
      <c r="J42" s="60"/>
      <c r="K42" s="60"/>
      <c r="L42" s="60"/>
    </row>
    <row r="43" spans="2:12">
      <c r="B43" s="62" t="s">
        <v>146</v>
      </c>
      <c r="C43" s="60"/>
      <c r="D43" s="60"/>
      <c r="E43" s="60"/>
      <c r="F43" s="60"/>
      <c r="G43" s="60"/>
      <c r="H43" s="60"/>
      <c r="I43" s="60"/>
      <c r="J43" s="60"/>
      <c r="K43" s="60"/>
      <c r="L43" s="60"/>
    </row>
    <row r="44" spans="2:12">
      <c r="B44" s="62" t="s">
        <v>147</v>
      </c>
      <c r="C44" s="60"/>
      <c r="D44" s="60"/>
      <c r="E44" s="60"/>
      <c r="F44" s="60"/>
      <c r="G44" s="60"/>
      <c r="H44" s="60"/>
      <c r="I44" s="60"/>
      <c r="J44" s="60"/>
      <c r="K44" s="60"/>
      <c r="L44" s="60"/>
    </row>
    <row r="45" spans="2:12">
      <c r="B45" s="62" t="s">
        <v>148</v>
      </c>
      <c r="C45" s="60"/>
      <c r="D45" s="60"/>
      <c r="E45" s="60"/>
      <c r="F45" s="60"/>
      <c r="G45" s="60"/>
      <c r="H45" s="60"/>
      <c r="I45" s="60"/>
      <c r="J45" s="60"/>
      <c r="K45" s="60"/>
      <c r="L45" s="60"/>
    </row>
    <row r="46" spans="2:12">
      <c r="B46" s="67"/>
      <c r="C46" s="60"/>
      <c r="D46" s="60"/>
      <c r="E46" s="60"/>
      <c r="F46" s="60"/>
      <c r="G46" s="60"/>
      <c r="H46" s="60"/>
      <c r="I46" s="60"/>
      <c r="J46" s="60"/>
      <c r="K46" s="60"/>
      <c r="L46" s="60"/>
    </row>
    <row r="48" spans="2:12">
      <c r="B48" s="68"/>
      <c r="C48" s="60"/>
      <c r="D48" s="60"/>
      <c r="E48" s="60"/>
      <c r="F48" s="60"/>
      <c r="G48" s="60"/>
      <c r="H48" s="60"/>
      <c r="I48" s="60"/>
      <c r="J48" s="60"/>
      <c r="K48" s="60"/>
      <c r="L48" s="60"/>
    </row>
    <row r="49" spans="2:2">
      <c r="B49" s="67"/>
    </row>
    <row r="51" spans="2:2">
      <c r="B51" s="66"/>
    </row>
  </sheetData>
  <mergeCells count="4">
    <mergeCell ref="B2:C2"/>
    <mergeCell ref="B4:C4"/>
    <mergeCell ref="B5:C5"/>
    <mergeCell ref="E7:I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CA0F3-53A4-4F87-A370-427BE69BB024}">
  <dimension ref="A1:P34"/>
  <sheetViews>
    <sheetView workbookViewId="0">
      <selection activeCell="P16" sqref="P16"/>
    </sheetView>
  </sheetViews>
  <sheetFormatPr defaultRowHeight="12.75"/>
  <cols>
    <col min="1" max="1" width="2.7109375" style="72" customWidth="1"/>
    <col min="2" max="2" width="18.7109375" style="72" customWidth="1"/>
    <col min="3" max="3" width="11.42578125" style="72" customWidth="1"/>
    <col min="4" max="6" width="9.140625" style="72"/>
    <col min="7" max="7" width="12.85546875" style="72" customWidth="1"/>
    <col min="8" max="8" width="9.140625" style="72"/>
    <col min="9" max="9" width="4.7109375" style="72" customWidth="1"/>
    <col min="10" max="10" width="9.140625" style="72"/>
    <col min="11" max="12" width="4.7109375" style="72" customWidth="1"/>
    <col min="13" max="13" width="9.140625" style="72"/>
    <col min="14" max="14" width="4.7109375" style="72" customWidth="1"/>
    <col min="15" max="15" width="9.5703125" style="72" customWidth="1"/>
    <col min="16" max="256" width="9.140625" style="72"/>
    <col min="257" max="257" width="2.7109375" style="72" customWidth="1"/>
    <col min="258" max="258" width="18.7109375" style="72" customWidth="1"/>
    <col min="259" max="259" width="11.42578125" style="72" customWidth="1"/>
    <col min="260" max="262" width="9.140625" style="72"/>
    <col min="263" max="263" width="12.85546875" style="72" customWidth="1"/>
    <col min="264" max="264" width="9.140625" style="72"/>
    <col min="265" max="265" width="4.7109375" style="72" customWidth="1"/>
    <col min="266" max="266" width="9.140625" style="72"/>
    <col min="267" max="268" width="4.7109375" style="72" customWidth="1"/>
    <col min="269" max="269" width="9.140625" style="72"/>
    <col min="270" max="270" width="4.7109375" style="72" customWidth="1"/>
    <col min="271" max="271" width="9.5703125" style="72" customWidth="1"/>
    <col min="272" max="512" width="9.140625" style="72"/>
    <col min="513" max="513" width="2.7109375" style="72" customWidth="1"/>
    <col min="514" max="514" width="18.7109375" style="72" customWidth="1"/>
    <col min="515" max="515" width="11.42578125" style="72" customWidth="1"/>
    <col min="516" max="518" width="9.140625" style="72"/>
    <col min="519" max="519" width="12.85546875" style="72" customWidth="1"/>
    <col min="520" max="520" width="9.140625" style="72"/>
    <col min="521" max="521" width="4.7109375" style="72" customWidth="1"/>
    <col min="522" max="522" width="9.140625" style="72"/>
    <col min="523" max="524" width="4.7109375" style="72" customWidth="1"/>
    <col min="525" max="525" width="9.140625" style="72"/>
    <col min="526" max="526" width="4.7109375" style="72" customWidth="1"/>
    <col min="527" max="527" width="9.5703125" style="72" customWidth="1"/>
    <col min="528" max="768" width="9.140625" style="72"/>
    <col min="769" max="769" width="2.7109375" style="72" customWidth="1"/>
    <col min="770" max="770" width="18.7109375" style="72" customWidth="1"/>
    <col min="771" max="771" width="11.42578125" style="72" customWidth="1"/>
    <col min="772" max="774" width="9.140625" style="72"/>
    <col min="775" max="775" width="12.85546875" style="72" customWidth="1"/>
    <col min="776" max="776" width="9.140625" style="72"/>
    <col min="777" max="777" width="4.7109375" style="72" customWidth="1"/>
    <col min="778" max="778" width="9.140625" style="72"/>
    <col min="779" max="780" width="4.7109375" style="72" customWidth="1"/>
    <col min="781" max="781" width="9.140625" style="72"/>
    <col min="782" max="782" width="4.7109375" style="72" customWidth="1"/>
    <col min="783" max="783" width="9.5703125" style="72" customWidth="1"/>
    <col min="784" max="1024" width="9.140625" style="72"/>
    <col min="1025" max="1025" width="2.7109375" style="72" customWidth="1"/>
    <col min="1026" max="1026" width="18.7109375" style="72" customWidth="1"/>
    <col min="1027" max="1027" width="11.42578125" style="72" customWidth="1"/>
    <col min="1028" max="1030" width="9.140625" style="72"/>
    <col min="1031" max="1031" width="12.85546875" style="72" customWidth="1"/>
    <col min="1032" max="1032" width="9.140625" style="72"/>
    <col min="1033" max="1033" width="4.7109375" style="72" customWidth="1"/>
    <col min="1034" max="1034" width="9.140625" style="72"/>
    <col min="1035" max="1036" width="4.7109375" style="72" customWidth="1"/>
    <col min="1037" max="1037" width="9.140625" style="72"/>
    <col min="1038" max="1038" width="4.7109375" style="72" customWidth="1"/>
    <col min="1039" max="1039" width="9.5703125" style="72" customWidth="1"/>
    <col min="1040" max="1280" width="9.140625" style="72"/>
    <col min="1281" max="1281" width="2.7109375" style="72" customWidth="1"/>
    <col min="1282" max="1282" width="18.7109375" style="72" customWidth="1"/>
    <col min="1283" max="1283" width="11.42578125" style="72" customWidth="1"/>
    <col min="1284" max="1286" width="9.140625" style="72"/>
    <col min="1287" max="1287" width="12.85546875" style="72" customWidth="1"/>
    <col min="1288" max="1288" width="9.140625" style="72"/>
    <col min="1289" max="1289" width="4.7109375" style="72" customWidth="1"/>
    <col min="1290" max="1290" width="9.140625" style="72"/>
    <col min="1291" max="1292" width="4.7109375" style="72" customWidth="1"/>
    <col min="1293" max="1293" width="9.140625" style="72"/>
    <col min="1294" max="1294" width="4.7109375" style="72" customWidth="1"/>
    <col min="1295" max="1295" width="9.5703125" style="72" customWidth="1"/>
    <col min="1296" max="1536" width="9.140625" style="72"/>
    <col min="1537" max="1537" width="2.7109375" style="72" customWidth="1"/>
    <col min="1538" max="1538" width="18.7109375" style="72" customWidth="1"/>
    <col min="1539" max="1539" width="11.42578125" style="72" customWidth="1"/>
    <col min="1540" max="1542" width="9.140625" style="72"/>
    <col min="1543" max="1543" width="12.85546875" style="72" customWidth="1"/>
    <col min="1544" max="1544" width="9.140625" style="72"/>
    <col min="1545" max="1545" width="4.7109375" style="72" customWidth="1"/>
    <col min="1546" max="1546" width="9.140625" style="72"/>
    <col min="1547" max="1548" width="4.7109375" style="72" customWidth="1"/>
    <col min="1549" max="1549" width="9.140625" style="72"/>
    <col min="1550" max="1550" width="4.7109375" style="72" customWidth="1"/>
    <col min="1551" max="1551" width="9.5703125" style="72" customWidth="1"/>
    <col min="1552" max="1792" width="9.140625" style="72"/>
    <col min="1793" max="1793" width="2.7109375" style="72" customWidth="1"/>
    <col min="1794" max="1794" width="18.7109375" style="72" customWidth="1"/>
    <col min="1795" max="1795" width="11.42578125" style="72" customWidth="1"/>
    <col min="1796" max="1798" width="9.140625" style="72"/>
    <col min="1799" max="1799" width="12.85546875" style="72" customWidth="1"/>
    <col min="1800" max="1800" width="9.140625" style="72"/>
    <col min="1801" max="1801" width="4.7109375" style="72" customWidth="1"/>
    <col min="1802" max="1802" width="9.140625" style="72"/>
    <col min="1803" max="1804" width="4.7109375" style="72" customWidth="1"/>
    <col min="1805" max="1805" width="9.140625" style="72"/>
    <col min="1806" max="1806" width="4.7109375" style="72" customWidth="1"/>
    <col min="1807" max="1807" width="9.5703125" style="72" customWidth="1"/>
    <col min="1808" max="2048" width="9.140625" style="72"/>
    <col min="2049" max="2049" width="2.7109375" style="72" customWidth="1"/>
    <col min="2050" max="2050" width="18.7109375" style="72" customWidth="1"/>
    <col min="2051" max="2051" width="11.42578125" style="72" customWidth="1"/>
    <col min="2052" max="2054" width="9.140625" style="72"/>
    <col min="2055" max="2055" width="12.85546875" style="72" customWidth="1"/>
    <col min="2056" max="2056" width="9.140625" style="72"/>
    <col min="2057" max="2057" width="4.7109375" style="72" customWidth="1"/>
    <col min="2058" max="2058" width="9.140625" style="72"/>
    <col min="2059" max="2060" width="4.7109375" style="72" customWidth="1"/>
    <col min="2061" max="2061" width="9.140625" style="72"/>
    <col min="2062" max="2062" width="4.7109375" style="72" customWidth="1"/>
    <col min="2063" max="2063" width="9.5703125" style="72" customWidth="1"/>
    <col min="2064" max="2304" width="9.140625" style="72"/>
    <col min="2305" max="2305" width="2.7109375" style="72" customWidth="1"/>
    <col min="2306" max="2306" width="18.7109375" style="72" customWidth="1"/>
    <col min="2307" max="2307" width="11.42578125" style="72" customWidth="1"/>
    <col min="2308" max="2310" width="9.140625" style="72"/>
    <col min="2311" max="2311" width="12.85546875" style="72" customWidth="1"/>
    <col min="2312" max="2312" width="9.140625" style="72"/>
    <col min="2313" max="2313" width="4.7109375" style="72" customWidth="1"/>
    <col min="2314" max="2314" width="9.140625" style="72"/>
    <col min="2315" max="2316" width="4.7109375" style="72" customWidth="1"/>
    <col min="2317" max="2317" width="9.140625" style="72"/>
    <col min="2318" max="2318" width="4.7109375" style="72" customWidth="1"/>
    <col min="2319" max="2319" width="9.5703125" style="72" customWidth="1"/>
    <col min="2320" max="2560" width="9.140625" style="72"/>
    <col min="2561" max="2561" width="2.7109375" style="72" customWidth="1"/>
    <col min="2562" max="2562" width="18.7109375" style="72" customWidth="1"/>
    <col min="2563" max="2563" width="11.42578125" style="72" customWidth="1"/>
    <col min="2564" max="2566" width="9.140625" style="72"/>
    <col min="2567" max="2567" width="12.85546875" style="72" customWidth="1"/>
    <col min="2568" max="2568" width="9.140625" style="72"/>
    <col min="2569" max="2569" width="4.7109375" style="72" customWidth="1"/>
    <col min="2570" max="2570" width="9.140625" style="72"/>
    <col min="2571" max="2572" width="4.7109375" style="72" customWidth="1"/>
    <col min="2573" max="2573" width="9.140625" style="72"/>
    <col min="2574" max="2574" width="4.7109375" style="72" customWidth="1"/>
    <col min="2575" max="2575" width="9.5703125" style="72" customWidth="1"/>
    <col min="2576" max="2816" width="9.140625" style="72"/>
    <col min="2817" max="2817" width="2.7109375" style="72" customWidth="1"/>
    <col min="2818" max="2818" width="18.7109375" style="72" customWidth="1"/>
    <col min="2819" max="2819" width="11.42578125" style="72" customWidth="1"/>
    <col min="2820" max="2822" width="9.140625" style="72"/>
    <col min="2823" max="2823" width="12.85546875" style="72" customWidth="1"/>
    <col min="2824" max="2824" width="9.140625" style="72"/>
    <col min="2825" max="2825" width="4.7109375" style="72" customWidth="1"/>
    <col min="2826" max="2826" width="9.140625" style="72"/>
    <col min="2827" max="2828" width="4.7109375" style="72" customWidth="1"/>
    <col min="2829" max="2829" width="9.140625" style="72"/>
    <col min="2830" max="2830" width="4.7109375" style="72" customWidth="1"/>
    <col min="2831" max="2831" width="9.5703125" style="72" customWidth="1"/>
    <col min="2832" max="3072" width="9.140625" style="72"/>
    <col min="3073" max="3073" width="2.7109375" style="72" customWidth="1"/>
    <col min="3074" max="3074" width="18.7109375" style="72" customWidth="1"/>
    <col min="3075" max="3075" width="11.42578125" style="72" customWidth="1"/>
    <col min="3076" max="3078" width="9.140625" style="72"/>
    <col min="3079" max="3079" width="12.85546875" style="72" customWidth="1"/>
    <col min="3080" max="3080" width="9.140625" style="72"/>
    <col min="3081" max="3081" width="4.7109375" style="72" customWidth="1"/>
    <col min="3082" max="3082" width="9.140625" style="72"/>
    <col min="3083" max="3084" width="4.7109375" style="72" customWidth="1"/>
    <col min="3085" max="3085" width="9.140625" style="72"/>
    <col min="3086" max="3086" width="4.7109375" style="72" customWidth="1"/>
    <col min="3087" max="3087" width="9.5703125" style="72" customWidth="1"/>
    <col min="3088" max="3328" width="9.140625" style="72"/>
    <col min="3329" max="3329" width="2.7109375" style="72" customWidth="1"/>
    <col min="3330" max="3330" width="18.7109375" style="72" customWidth="1"/>
    <col min="3331" max="3331" width="11.42578125" style="72" customWidth="1"/>
    <col min="3332" max="3334" width="9.140625" style="72"/>
    <col min="3335" max="3335" width="12.85546875" style="72" customWidth="1"/>
    <col min="3336" max="3336" width="9.140625" style="72"/>
    <col min="3337" max="3337" width="4.7109375" style="72" customWidth="1"/>
    <col min="3338" max="3338" width="9.140625" style="72"/>
    <col min="3339" max="3340" width="4.7109375" style="72" customWidth="1"/>
    <col min="3341" max="3341" width="9.140625" style="72"/>
    <col min="3342" max="3342" width="4.7109375" style="72" customWidth="1"/>
    <col min="3343" max="3343" width="9.5703125" style="72" customWidth="1"/>
    <col min="3344" max="3584" width="9.140625" style="72"/>
    <col min="3585" max="3585" width="2.7109375" style="72" customWidth="1"/>
    <col min="3586" max="3586" width="18.7109375" style="72" customWidth="1"/>
    <col min="3587" max="3587" width="11.42578125" style="72" customWidth="1"/>
    <col min="3588" max="3590" width="9.140625" style="72"/>
    <col min="3591" max="3591" width="12.85546875" style="72" customWidth="1"/>
    <col min="3592" max="3592" width="9.140625" style="72"/>
    <col min="3593" max="3593" width="4.7109375" style="72" customWidth="1"/>
    <col min="3594" max="3594" width="9.140625" style="72"/>
    <col min="3595" max="3596" width="4.7109375" style="72" customWidth="1"/>
    <col min="3597" max="3597" width="9.140625" style="72"/>
    <col min="3598" max="3598" width="4.7109375" style="72" customWidth="1"/>
    <col min="3599" max="3599" width="9.5703125" style="72" customWidth="1"/>
    <col min="3600" max="3840" width="9.140625" style="72"/>
    <col min="3841" max="3841" width="2.7109375" style="72" customWidth="1"/>
    <col min="3842" max="3842" width="18.7109375" style="72" customWidth="1"/>
    <col min="3843" max="3843" width="11.42578125" style="72" customWidth="1"/>
    <col min="3844" max="3846" width="9.140625" style="72"/>
    <col min="3847" max="3847" width="12.85546875" style="72" customWidth="1"/>
    <col min="3848" max="3848" width="9.140625" style="72"/>
    <col min="3849" max="3849" width="4.7109375" style="72" customWidth="1"/>
    <col min="3850" max="3850" width="9.140625" style="72"/>
    <col min="3851" max="3852" width="4.7109375" style="72" customWidth="1"/>
    <col min="3853" max="3853" width="9.140625" style="72"/>
    <col min="3854" max="3854" width="4.7109375" style="72" customWidth="1"/>
    <col min="3855" max="3855" width="9.5703125" style="72" customWidth="1"/>
    <col min="3856" max="4096" width="9.140625" style="72"/>
    <col min="4097" max="4097" width="2.7109375" style="72" customWidth="1"/>
    <col min="4098" max="4098" width="18.7109375" style="72" customWidth="1"/>
    <col min="4099" max="4099" width="11.42578125" style="72" customWidth="1"/>
    <col min="4100" max="4102" width="9.140625" style="72"/>
    <col min="4103" max="4103" width="12.85546875" style="72" customWidth="1"/>
    <col min="4104" max="4104" width="9.140625" style="72"/>
    <col min="4105" max="4105" width="4.7109375" style="72" customWidth="1"/>
    <col min="4106" max="4106" width="9.140625" style="72"/>
    <col min="4107" max="4108" width="4.7109375" style="72" customWidth="1"/>
    <col min="4109" max="4109" width="9.140625" style="72"/>
    <col min="4110" max="4110" width="4.7109375" style="72" customWidth="1"/>
    <col min="4111" max="4111" width="9.5703125" style="72" customWidth="1"/>
    <col min="4112" max="4352" width="9.140625" style="72"/>
    <col min="4353" max="4353" width="2.7109375" style="72" customWidth="1"/>
    <col min="4354" max="4354" width="18.7109375" style="72" customWidth="1"/>
    <col min="4355" max="4355" width="11.42578125" style="72" customWidth="1"/>
    <col min="4356" max="4358" width="9.140625" style="72"/>
    <col min="4359" max="4359" width="12.85546875" style="72" customWidth="1"/>
    <col min="4360" max="4360" width="9.140625" style="72"/>
    <col min="4361" max="4361" width="4.7109375" style="72" customWidth="1"/>
    <col min="4362" max="4362" width="9.140625" style="72"/>
    <col min="4363" max="4364" width="4.7109375" style="72" customWidth="1"/>
    <col min="4365" max="4365" width="9.140625" style="72"/>
    <col min="4366" max="4366" width="4.7109375" style="72" customWidth="1"/>
    <col min="4367" max="4367" width="9.5703125" style="72" customWidth="1"/>
    <col min="4368" max="4608" width="9.140625" style="72"/>
    <col min="4609" max="4609" width="2.7109375" style="72" customWidth="1"/>
    <col min="4610" max="4610" width="18.7109375" style="72" customWidth="1"/>
    <col min="4611" max="4611" width="11.42578125" style="72" customWidth="1"/>
    <col min="4612" max="4614" width="9.140625" style="72"/>
    <col min="4615" max="4615" width="12.85546875" style="72" customWidth="1"/>
    <col min="4616" max="4616" width="9.140625" style="72"/>
    <col min="4617" max="4617" width="4.7109375" style="72" customWidth="1"/>
    <col min="4618" max="4618" width="9.140625" style="72"/>
    <col min="4619" max="4620" width="4.7109375" style="72" customWidth="1"/>
    <col min="4621" max="4621" width="9.140625" style="72"/>
    <col min="4622" max="4622" width="4.7109375" style="72" customWidth="1"/>
    <col min="4623" max="4623" width="9.5703125" style="72" customWidth="1"/>
    <col min="4624" max="4864" width="9.140625" style="72"/>
    <col min="4865" max="4865" width="2.7109375" style="72" customWidth="1"/>
    <col min="4866" max="4866" width="18.7109375" style="72" customWidth="1"/>
    <col min="4867" max="4867" width="11.42578125" style="72" customWidth="1"/>
    <col min="4868" max="4870" width="9.140625" style="72"/>
    <col min="4871" max="4871" width="12.85546875" style="72" customWidth="1"/>
    <col min="4872" max="4872" width="9.140625" style="72"/>
    <col min="4873" max="4873" width="4.7109375" style="72" customWidth="1"/>
    <col min="4874" max="4874" width="9.140625" style="72"/>
    <col min="4875" max="4876" width="4.7109375" style="72" customWidth="1"/>
    <col min="4877" max="4877" width="9.140625" style="72"/>
    <col min="4878" max="4878" width="4.7109375" style="72" customWidth="1"/>
    <col min="4879" max="4879" width="9.5703125" style="72" customWidth="1"/>
    <col min="4880" max="5120" width="9.140625" style="72"/>
    <col min="5121" max="5121" width="2.7109375" style="72" customWidth="1"/>
    <col min="5122" max="5122" width="18.7109375" style="72" customWidth="1"/>
    <col min="5123" max="5123" width="11.42578125" style="72" customWidth="1"/>
    <col min="5124" max="5126" width="9.140625" style="72"/>
    <col min="5127" max="5127" width="12.85546875" style="72" customWidth="1"/>
    <col min="5128" max="5128" width="9.140625" style="72"/>
    <col min="5129" max="5129" width="4.7109375" style="72" customWidth="1"/>
    <col min="5130" max="5130" width="9.140625" style="72"/>
    <col min="5131" max="5132" width="4.7109375" style="72" customWidth="1"/>
    <col min="5133" max="5133" width="9.140625" style="72"/>
    <col min="5134" max="5134" width="4.7109375" style="72" customWidth="1"/>
    <col min="5135" max="5135" width="9.5703125" style="72" customWidth="1"/>
    <col min="5136" max="5376" width="9.140625" style="72"/>
    <col min="5377" max="5377" width="2.7109375" style="72" customWidth="1"/>
    <col min="5378" max="5378" width="18.7109375" style="72" customWidth="1"/>
    <col min="5379" max="5379" width="11.42578125" style="72" customWidth="1"/>
    <col min="5380" max="5382" width="9.140625" style="72"/>
    <col min="5383" max="5383" width="12.85546875" style="72" customWidth="1"/>
    <col min="5384" max="5384" width="9.140625" style="72"/>
    <col min="5385" max="5385" width="4.7109375" style="72" customWidth="1"/>
    <col min="5386" max="5386" width="9.140625" style="72"/>
    <col min="5387" max="5388" width="4.7109375" style="72" customWidth="1"/>
    <col min="5389" max="5389" width="9.140625" style="72"/>
    <col min="5390" max="5390" width="4.7109375" style="72" customWidth="1"/>
    <col min="5391" max="5391" width="9.5703125" style="72" customWidth="1"/>
    <col min="5392" max="5632" width="9.140625" style="72"/>
    <col min="5633" max="5633" width="2.7109375" style="72" customWidth="1"/>
    <col min="5634" max="5634" width="18.7109375" style="72" customWidth="1"/>
    <col min="5635" max="5635" width="11.42578125" style="72" customWidth="1"/>
    <col min="5636" max="5638" width="9.140625" style="72"/>
    <col min="5639" max="5639" width="12.85546875" style="72" customWidth="1"/>
    <col min="5640" max="5640" width="9.140625" style="72"/>
    <col min="5641" max="5641" width="4.7109375" style="72" customWidth="1"/>
    <col min="5642" max="5642" width="9.140625" style="72"/>
    <col min="5643" max="5644" width="4.7109375" style="72" customWidth="1"/>
    <col min="5645" max="5645" width="9.140625" style="72"/>
    <col min="5646" max="5646" width="4.7109375" style="72" customWidth="1"/>
    <col min="5647" max="5647" width="9.5703125" style="72" customWidth="1"/>
    <col min="5648" max="5888" width="9.140625" style="72"/>
    <col min="5889" max="5889" width="2.7109375" style="72" customWidth="1"/>
    <col min="5890" max="5890" width="18.7109375" style="72" customWidth="1"/>
    <col min="5891" max="5891" width="11.42578125" style="72" customWidth="1"/>
    <col min="5892" max="5894" width="9.140625" style="72"/>
    <col min="5895" max="5895" width="12.85546875" style="72" customWidth="1"/>
    <col min="5896" max="5896" width="9.140625" style="72"/>
    <col min="5897" max="5897" width="4.7109375" style="72" customWidth="1"/>
    <col min="5898" max="5898" width="9.140625" style="72"/>
    <col min="5899" max="5900" width="4.7109375" style="72" customWidth="1"/>
    <col min="5901" max="5901" width="9.140625" style="72"/>
    <col min="5902" max="5902" width="4.7109375" style="72" customWidth="1"/>
    <col min="5903" max="5903" width="9.5703125" style="72" customWidth="1"/>
    <col min="5904" max="6144" width="9.140625" style="72"/>
    <col min="6145" max="6145" width="2.7109375" style="72" customWidth="1"/>
    <col min="6146" max="6146" width="18.7109375" style="72" customWidth="1"/>
    <col min="6147" max="6147" width="11.42578125" style="72" customWidth="1"/>
    <col min="6148" max="6150" width="9.140625" style="72"/>
    <col min="6151" max="6151" width="12.85546875" style="72" customWidth="1"/>
    <col min="6152" max="6152" width="9.140625" style="72"/>
    <col min="6153" max="6153" width="4.7109375" style="72" customWidth="1"/>
    <col min="6154" max="6154" width="9.140625" style="72"/>
    <col min="6155" max="6156" width="4.7109375" style="72" customWidth="1"/>
    <col min="6157" max="6157" width="9.140625" style="72"/>
    <col min="6158" max="6158" width="4.7109375" style="72" customWidth="1"/>
    <col min="6159" max="6159" width="9.5703125" style="72" customWidth="1"/>
    <col min="6160" max="6400" width="9.140625" style="72"/>
    <col min="6401" max="6401" width="2.7109375" style="72" customWidth="1"/>
    <col min="6402" max="6402" width="18.7109375" style="72" customWidth="1"/>
    <col min="6403" max="6403" width="11.42578125" style="72" customWidth="1"/>
    <col min="6404" max="6406" width="9.140625" style="72"/>
    <col min="6407" max="6407" width="12.85546875" style="72" customWidth="1"/>
    <col min="6408" max="6408" width="9.140625" style="72"/>
    <col min="6409" max="6409" width="4.7109375" style="72" customWidth="1"/>
    <col min="6410" max="6410" width="9.140625" style="72"/>
    <col min="6411" max="6412" width="4.7109375" style="72" customWidth="1"/>
    <col min="6413" max="6413" width="9.140625" style="72"/>
    <col min="6414" max="6414" width="4.7109375" style="72" customWidth="1"/>
    <col min="6415" max="6415" width="9.5703125" style="72" customWidth="1"/>
    <col min="6416" max="6656" width="9.140625" style="72"/>
    <col min="6657" max="6657" width="2.7109375" style="72" customWidth="1"/>
    <col min="6658" max="6658" width="18.7109375" style="72" customWidth="1"/>
    <col min="6659" max="6659" width="11.42578125" style="72" customWidth="1"/>
    <col min="6660" max="6662" width="9.140625" style="72"/>
    <col min="6663" max="6663" width="12.85546875" style="72" customWidth="1"/>
    <col min="6664" max="6664" width="9.140625" style="72"/>
    <col min="6665" max="6665" width="4.7109375" style="72" customWidth="1"/>
    <col min="6666" max="6666" width="9.140625" style="72"/>
    <col min="6667" max="6668" width="4.7109375" style="72" customWidth="1"/>
    <col min="6669" max="6669" width="9.140625" style="72"/>
    <col min="6670" max="6670" width="4.7109375" style="72" customWidth="1"/>
    <col min="6671" max="6671" width="9.5703125" style="72" customWidth="1"/>
    <col min="6672" max="6912" width="9.140625" style="72"/>
    <col min="6913" max="6913" width="2.7109375" style="72" customWidth="1"/>
    <col min="6914" max="6914" width="18.7109375" style="72" customWidth="1"/>
    <col min="6915" max="6915" width="11.42578125" style="72" customWidth="1"/>
    <col min="6916" max="6918" width="9.140625" style="72"/>
    <col min="6919" max="6919" width="12.85546875" style="72" customWidth="1"/>
    <col min="6920" max="6920" width="9.140625" style="72"/>
    <col min="6921" max="6921" width="4.7109375" style="72" customWidth="1"/>
    <col min="6922" max="6922" width="9.140625" style="72"/>
    <col min="6923" max="6924" width="4.7109375" style="72" customWidth="1"/>
    <col min="6925" max="6925" width="9.140625" style="72"/>
    <col min="6926" max="6926" width="4.7109375" style="72" customWidth="1"/>
    <col min="6927" max="6927" width="9.5703125" style="72" customWidth="1"/>
    <col min="6928" max="7168" width="9.140625" style="72"/>
    <col min="7169" max="7169" width="2.7109375" style="72" customWidth="1"/>
    <col min="7170" max="7170" width="18.7109375" style="72" customWidth="1"/>
    <col min="7171" max="7171" width="11.42578125" style="72" customWidth="1"/>
    <col min="7172" max="7174" width="9.140625" style="72"/>
    <col min="7175" max="7175" width="12.85546875" style="72" customWidth="1"/>
    <col min="7176" max="7176" width="9.140625" style="72"/>
    <col min="7177" max="7177" width="4.7109375" style="72" customWidth="1"/>
    <col min="7178" max="7178" width="9.140625" style="72"/>
    <col min="7179" max="7180" width="4.7109375" style="72" customWidth="1"/>
    <col min="7181" max="7181" width="9.140625" style="72"/>
    <col min="7182" max="7182" width="4.7109375" style="72" customWidth="1"/>
    <col min="7183" max="7183" width="9.5703125" style="72" customWidth="1"/>
    <col min="7184" max="7424" width="9.140625" style="72"/>
    <col min="7425" max="7425" width="2.7109375" style="72" customWidth="1"/>
    <col min="7426" max="7426" width="18.7109375" style="72" customWidth="1"/>
    <col min="7427" max="7427" width="11.42578125" style="72" customWidth="1"/>
    <col min="7428" max="7430" width="9.140625" style="72"/>
    <col min="7431" max="7431" width="12.85546875" style="72" customWidth="1"/>
    <col min="7432" max="7432" width="9.140625" style="72"/>
    <col min="7433" max="7433" width="4.7109375" style="72" customWidth="1"/>
    <col min="7434" max="7434" width="9.140625" style="72"/>
    <col min="7435" max="7436" width="4.7109375" style="72" customWidth="1"/>
    <col min="7437" max="7437" width="9.140625" style="72"/>
    <col min="7438" max="7438" width="4.7109375" style="72" customWidth="1"/>
    <col min="7439" max="7439" width="9.5703125" style="72" customWidth="1"/>
    <col min="7440" max="7680" width="9.140625" style="72"/>
    <col min="7681" max="7681" width="2.7109375" style="72" customWidth="1"/>
    <col min="7682" max="7682" width="18.7109375" style="72" customWidth="1"/>
    <col min="7683" max="7683" width="11.42578125" style="72" customWidth="1"/>
    <col min="7684" max="7686" width="9.140625" style="72"/>
    <col min="7687" max="7687" width="12.85546875" style="72" customWidth="1"/>
    <col min="7688" max="7688" width="9.140625" style="72"/>
    <col min="7689" max="7689" width="4.7109375" style="72" customWidth="1"/>
    <col min="7690" max="7690" width="9.140625" style="72"/>
    <col min="7691" max="7692" width="4.7109375" style="72" customWidth="1"/>
    <col min="7693" max="7693" width="9.140625" style="72"/>
    <col min="7694" max="7694" width="4.7109375" style="72" customWidth="1"/>
    <col min="7695" max="7695" width="9.5703125" style="72" customWidth="1"/>
    <col min="7696" max="7936" width="9.140625" style="72"/>
    <col min="7937" max="7937" width="2.7109375" style="72" customWidth="1"/>
    <col min="7938" max="7938" width="18.7109375" style="72" customWidth="1"/>
    <col min="7939" max="7939" width="11.42578125" style="72" customWidth="1"/>
    <col min="7940" max="7942" width="9.140625" style="72"/>
    <col min="7943" max="7943" width="12.85546875" style="72" customWidth="1"/>
    <col min="7944" max="7944" width="9.140625" style="72"/>
    <col min="7945" max="7945" width="4.7109375" style="72" customWidth="1"/>
    <col min="7946" max="7946" width="9.140625" style="72"/>
    <col min="7947" max="7948" width="4.7109375" style="72" customWidth="1"/>
    <col min="7949" max="7949" width="9.140625" style="72"/>
    <col min="7950" max="7950" width="4.7109375" style="72" customWidth="1"/>
    <col min="7951" max="7951" width="9.5703125" style="72" customWidth="1"/>
    <col min="7952" max="8192" width="9.140625" style="72"/>
    <col min="8193" max="8193" width="2.7109375" style="72" customWidth="1"/>
    <col min="8194" max="8194" width="18.7109375" style="72" customWidth="1"/>
    <col min="8195" max="8195" width="11.42578125" style="72" customWidth="1"/>
    <col min="8196" max="8198" width="9.140625" style="72"/>
    <col min="8199" max="8199" width="12.85546875" style="72" customWidth="1"/>
    <col min="8200" max="8200" width="9.140625" style="72"/>
    <col min="8201" max="8201" width="4.7109375" style="72" customWidth="1"/>
    <col min="8202" max="8202" width="9.140625" style="72"/>
    <col min="8203" max="8204" width="4.7109375" style="72" customWidth="1"/>
    <col min="8205" max="8205" width="9.140625" style="72"/>
    <col min="8206" max="8206" width="4.7109375" style="72" customWidth="1"/>
    <col min="8207" max="8207" width="9.5703125" style="72" customWidth="1"/>
    <col min="8208" max="8448" width="9.140625" style="72"/>
    <col min="8449" max="8449" width="2.7109375" style="72" customWidth="1"/>
    <col min="8450" max="8450" width="18.7109375" style="72" customWidth="1"/>
    <col min="8451" max="8451" width="11.42578125" style="72" customWidth="1"/>
    <col min="8452" max="8454" width="9.140625" style="72"/>
    <col min="8455" max="8455" width="12.85546875" style="72" customWidth="1"/>
    <col min="8456" max="8456" width="9.140625" style="72"/>
    <col min="8457" max="8457" width="4.7109375" style="72" customWidth="1"/>
    <col min="8458" max="8458" width="9.140625" style="72"/>
    <col min="8459" max="8460" width="4.7109375" style="72" customWidth="1"/>
    <col min="8461" max="8461" width="9.140625" style="72"/>
    <col min="8462" max="8462" width="4.7109375" style="72" customWidth="1"/>
    <col min="8463" max="8463" width="9.5703125" style="72" customWidth="1"/>
    <col min="8464" max="8704" width="9.140625" style="72"/>
    <col min="8705" max="8705" width="2.7109375" style="72" customWidth="1"/>
    <col min="8706" max="8706" width="18.7109375" style="72" customWidth="1"/>
    <col min="8707" max="8707" width="11.42578125" style="72" customWidth="1"/>
    <col min="8708" max="8710" width="9.140625" style="72"/>
    <col min="8711" max="8711" width="12.85546875" style="72" customWidth="1"/>
    <col min="8712" max="8712" width="9.140625" style="72"/>
    <col min="8713" max="8713" width="4.7109375" style="72" customWidth="1"/>
    <col min="8714" max="8714" width="9.140625" style="72"/>
    <col min="8715" max="8716" width="4.7109375" style="72" customWidth="1"/>
    <col min="8717" max="8717" width="9.140625" style="72"/>
    <col min="8718" max="8718" width="4.7109375" style="72" customWidth="1"/>
    <col min="8719" max="8719" width="9.5703125" style="72" customWidth="1"/>
    <col min="8720" max="8960" width="9.140625" style="72"/>
    <col min="8961" max="8961" width="2.7109375" style="72" customWidth="1"/>
    <col min="8962" max="8962" width="18.7109375" style="72" customWidth="1"/>
    <col min="8963" max="8963" width="11.42578125" style="72" customWidth="1"/>
    <col min="8964" max="8966" width="9.140625" style="72"/>
    <col min="8967" max="8967" width="12.85546875" style="72" customWidth="1"/>
    <col min="8968" max="8968" width="9.140625" style="72"/>
    <col min="8969" max="8969" width="4.7109375" style="72" customWidth="1"/>
    <col min="8970" max="8970" width="9.140625" style="72"/>
    <col min="8971" max="8972" width="4.7109375" style="72" customWidth="1"/>
    <col min="8973" max="8973" width="9.140625" style="72"/>
    <col min="8974" max="8974" width="4.7109375" style="72" customWidth="1"/>
    <col min="8975" max="8975" width="9.5703125" style="72" customWidth="1"/>
    <col min="8976" max="9216" width="9.140625" style="72"/>
    <col min="9217" max="9217" width="2.7109375" style="72" customWidth="1"/>
    <col min="9218" max="9218" width="18.7109375" style="72" customWidth="1"/>
    <col min="9219" max="9219" width="11.42578125" style="72" customWidth="1"/>
    <col min="9220" max="9222" width="9.140625" style="72"/>
    <col min="9223" max="9223" width="12.85546875" style="72" customWidth="1"/>
    <col min="9224" max="9224" width="9.140625" style="72"/>
    <col min="9225" max="9225" width="4.7109375" style="72" customWidth="1"/>
    <col min="9226" max="9226" width="9.140625" style="72"/>
    <col min="9227" max="9228" width="4.7109375" style="72" customWidth="1"/>
    <col min="9229" max="9229" width="9.140625" style="72"/>
    <col min="9230" max="9230" width="4.7109375" style="72" customWidth="1"/>
    <col min="9231" max="9231" width="9.5703125" style="72" customWidth="1"/>
    <col min="9232" max="9472" width="9.140625" style="72"/>
    <col min="9473" max="9473" width="2.7109375" style="72" customWidth="1"/>
    <col min="9474" max="9474" width="18.7109375" style="72" customWidth="1"/>
    <col min="9475" max="9475" width="11.42578125" style="72" customWidth="1"/>
    <col min="9476" max="9478" width="9.140625" style="72"/>
    <col min="9479" max="9479" width="12.85546875" style="72" customWidth="1"/>
    <col min="9480" max="9480" width="9.140625" style="72"/>
    <col min="9481" max="9481" width="4.7109375" style="72" customWidth="1"/>
    <col min="9482" max="9482" width="9.140625" style="72"/>
    <col min="9483" max="9484" width="4.7109375" style="72" customWidth="1"/>
    <col min="9485" max="9485" width="9.140625" style="72"/>
    <col min="9486" max="9486" width="4.7109375" style="72" customWidth="1"/>
    <col min="9487" max="9487" width="9.5703125" style="72" customWidth="1"/>
    <col min="9488" max="9728" width="9.140625" style="72"/>
    <col min="9729" max="9729" width="2.7109375" style="72" customWidth="1"/>
    <col min="9730" max="9730" width="18.7109375" style="72" customWidth="1"/>
    <col min="9731" max="9731" width="11.42578125" style="72" customWidth="1"/>
    <col min="9732" max="9734" width="9.140625" style="72"/>
    <col min="9735" max="9735" width="12.85546875" style="72" customWidth="1"/>
    <col min="9736" max="9736" width="9.140625" style="72"/>
    <col min="9737" max="9737" width="4.7109375" style="72" customWidth="1"/>
    <col min="9738" max="9738" width="9.140625" style="72"/>
    <col min="9739" max="9740" width="4.7109375" style="72" customWidth="1"/>
    <col min="9741" max="9741" width="9.140625" style="72"/>
    <col min="9742" max="9742" width="4.7109375" style="72" customWidth="1"/>
    <col min="9743" max="9743" width="9.5703125" style="72" customWidth="1"/>
    <col min="9744" max="9984" width="9.140625" style="72"/>
    <col min="9985" max="9985" width="2.7109375" style="72" customWidth="1"/>
    <col min="9986" max="9986" width="18.7109375" style="72" customWidth="1"/>
    <col min="9987" max="9987" width="11.42578125" style="72" customWidth="1"/>
    <col min="9988" max="9990" width="9.140625" style="72"/>
    <col min="9991" max="9991" width="12.85546875" style="72" customWidth="1"/>
    <col min="9992" max="9992" width="9.140625" style="72"/>
    <col min="9993" max="9993" width="4.7109375" style="72" customWidth="1"/>
    <col min="9994" max="9994" width="9.140625" style="72"/>
    <col min="9995" max="9996" width="4.7109375" style="72" customWidth="1"/>
    <col min="9997" max="9997" width="9.140625" style="72"/>
    <col min="9998" max="9998" width="4.7109375" style="72" customWidth="1"/>
    <col min="9999" max="9999" width="9.5703125" style="72" customWidth="1"/>
    <col min="10000" max="10240" width="9.140625" style="72"/>
    <col min="10241" max="10241" width="2.7109375" style="72" customWidth="1"/>
    <col min="10242" max="10242" width="18.7109375" style="72" customWidth="1"/>
    <col min="10243" max="10243" width="11.42578125" style="72" customWidth="1"/>
    <col min="10244" max="10246" width="9.140625" style="72"/>
    <col min="10247" max="10247" width="12.85546875" style="72" customWidth="1"/>
    <col min="10248" max="10248" width="9.140625" style="72"/>
    <col min="10249" max="10249" width="4.7109375" style="72" customWidth="1"/>
    <col min="10250" max="10250" width="9.140625" style="72"/>
    <col min="10251" max="10252" width="4.7109375" style="72" customWidth="1"/>
    <col min="10253" max="10253" width="9.140625" style="72"/>
    <col min="10254" max="10254" width="4.7109375" style="72" customWidth="1"/>
    <col min="10255" max="10255" width="9.5703125" style="72" customWidth="1"/>
    <col min="10256" max="10496" width="9.140625" style="72"/>
    <col min="10497" max="10497" width="2.7109375" style="72" customWidth="1"/>
    <col min="10498" max="10498" width="18.7109375" style="72" customWidth="1"/>
    <col min="10499" max="10499" width="11.42578125" style="72" customWidth="1"/>
    <col min="10500" max="10502" width="9.140625" style="72"/>
    <col min="10503" max="10503" width="12.85546875" style="72" customWidth="1"/>
    <col min="10504" max="10504" width="9.140625" style="72"/>
    <col min="10505" max="10505" width="4.7109375" style="72" customWidth="1"/>
    <col min="10506" max="10506" width="9.140625" style="72"/>
    <col min="10507" max="10508" width="4.7109375" style="72" customWidth="1"/>
    <col min="10509" max="10509" width="9.140625" style="72"/>
    <col min="10510" max="10510" width="4.7109375" style="72" customWidth="1"/>
    <col min="10511" max="10511" width="9.5703125" style="72" customWidth="1"/>
    <col min="10512" max="10752" width="9.140625" style="72"/>
    <col min="10753" max="10753" width="2.7109375" style="72" customWidth="1"/>
    <col min="10754" max="10754" width="18.7109375" style="72" customWidth="1"/>
    <col min="10755" max="10755" width="11.42578125" style="72" customWidth="1"/>
    <col min="10756" max="10758" width="9.140625" style="72"/>
    <col min="10759" max="10759" width="12.85546875" style="72" customWidth="1"/>
    <col min="10760" max="10760" width="9.140625" style="72"/>
    <col min="10761" max="10761" width="4.7109375" style="72" customWidth="1"/>
    <col min="10762" max="10762" width="9.140625" style="72"/>
    <col min="10763" max="10764" width="4.7109375" style="72" customWidth="1"/>
    <col min="10765" max="10765" width="9.140625" style="72"/>
    <col min="10766" max="10766" width="4.7109375" style="72" customWidth="1"/>
    <col min="10767" max="10767" width="9.5703125" style="72" customWidth="1"/>
    <col min="10768" max="11008" width="9.140625" style="72"/>
    <col min="11009" max="11009" width="2.7109375" style="72" customWidth="1"/>
    <col min="11010" max="11010" width="18.7109375" style="72" customWidth="1"/>
    <col min="11011" max="11011" width="11.42578125" style="72" customWidth="1"/>
    <col min="11012" max="11014" width="9.140625" style="72"/>
    <col min="11015" max="11015" width="12.85546875" style="72" customWidth="1"/>
    <col min="11016" max="11016" width="9.140625" style="72"/>
    <col min="11017" max="11017" width="4.7109375" style="72" customWidth="1"/>
    <col min="11018" max="11018" width="9.140625" style="72"/>
    <col min="11019" max="11020" width="4.7109375" style="72" customWidth="1"/>
    <col min="11021" max="11021" width="9.140625" style="72"/>
    <col min="11022" max="11022" width="4.7109375" style="72" customWidth="1"/>
    <col min="11023" max="11023" width="9.5703125" style="72" customWidth="1"/>
    <col min="11024" max="11264" width="9.140625" style="72"/>
    <col min="11265" max="11265" width="2.7109375" style="72" customWidth="1"/>
    <col min="11266" max="11266" width="18.7109375" style="72" customWidth="1"/>
    <col min="11267" max="11267" width="11.42578125" style="72" customWidth="1"/>
    <col min="11268" max="11270" width="9.140625" style="72"/>
    <col min="11271" max="11271" width="12.85546875" style="72" customWidth="1"/>
    <col min="11272" max="11272" width="9.140625" style="72"/>
    <col min="11273" max="11273" width="4.7109375" style="72" customWidth="1"/>
    <col min="11274" max="11274" width="9.140625" style="72"/>
    <col min="11275" max="11276" width="4.7109375" style="72" customWidth="1"/>
    <col min="11277" max="11277" width="9.140625" style="72"/>
    <col min="11278" max="11278" width="4.7109375" style="72" customWidth="1"/>
    <col min="11279" max="11279" width="9.5703125" style="72" customWidth="1"/>
    <col min="11280" max="11520" width="9.140625" style="72"/>
    <col min="11521" max="11521" width="2.7109375" style="72" customWidth="1"/>
    <col min="11522" max="11522" width="18.7109375" style="72" customWidth="1"/>
    <col min="11523" max="11523" width="11.42578125" style="72" customWidth="1"/>
    <col min="11524" max="11526" width="9.140625" style="72"/>
    <col min="11527" max="11527" width="12.85546875" style="72" customWidth="1"/>
    <col min="11528" max="11528" width="9.140625" style="72"/>
    <col min="11529" max="11529" width="4.7109375" style="72" customWidth="1"/>
    <col min="11530" max="11530" width="9.140625" style="72"/>
    <col min="11531" max="11532" width="4.7109375" style="72" customWidth="1"/>
    <col min="11533" max="11533" width="9.140625" style="72"/>
    <col min="11534" max="11534" width="4.7109375" style="72" customWidth="1"/>
    <col min="11535" max="11535" width="9.5703125" style="72" customWidth="1"/>
    <col min="11536" max="11776" width="9.140625" style="72"/>
    <col min="11777" max="11777" width="2.7109375" style="72" customWidth="1"/>
    <col min="11778" max="11778" width="18.7109375" style="72" customWidth="1"/>
    <col min="11779" max="11779" width="11.42578125" style="72" customWidth="1"/>
    <col min="11780" max="11782" width="9.140625" style="72"/>
    <col min="11783" max="11783" width="12.85546875" style="72" customWidth="1"/>
    <col min="11784" max="11784" width="9.140625" style="72"/>
    <col min="11785" max="11785" width="4.7109375" style="72" customWidth="1"/>
    <col min="11786" max="11786" width="9.140625" style="72"/>
    <col min="11787" max="11788" width="4.7109375" style="72" customWidth="1"/>
    <col min="11789" max="11789" width="9.140625" style="72"/>
    <col min="11790" max="11790" width="4.7109375" style="72" customWidth="1"/>
    <col min="11791" max="11791" width="9.5703125" style="72" customWidth="1"/>
    <col min="11792" max="12032" width="9.140625" style="72"/>
    <col min="12033" max="12033" width="2.7109375" style="72" customWidth="1"/>
    <col min="12034" max="12034" width="18.7109375" style="72" customWidth="1"/>
    <col min="12035" max="12035" width="11.42578125" style="72" customWidth="1"/>
    <col min="12036" max="12038" width="9.140625" style="72"/>
    <col min="12039" max="12039" width="12.85546875" style="72" customWidth="1"/>
    <col min="12040" max="12040" width="9.140625" style="72"/>
    <col min="12041" max="12041" width="4.7109375" style="72" customWidth="1"/>
    <col min="12042" max="12042" width="9.140625" style="72"/>
    <col min="12043" max="12044" width="4.7109375" style="72" customWidth="1"/>
    <col min="12045" max="12045" width="9.140625" style="72"/>
    <col min="12046" max="12046" width="4.7109375" style="72" customWidth="1"/>
    <col min="12047" max="12047" width="9.5703125" style="72" customWidth="1"/>
    <col min="12048" max="12288" width="9.140625" style="72"/>
    <col min="12289" max="12289" width="2.7109375" style="72" customWidth="1"/>
    <col min="12290" max="12290" width="18.7109375" style="72" customWidth="1"/>
    <col min="12291" max="12291" width="11.42578125" style="72" customWidth="1"/>
    <col min="12292" max="12294" width="9.140625" style="72"/>
    <col min="12295" max="12295" width="12.85546875" style="72" customWidth="1"/>
    <col min="12296" max="12296" width="9.140625" style="72"/>
    <col min="12297" max="12297" width="4.7109375" style="72" customWidth="1"/>
    <col min="12298" max="12298" width="9.140625" style="72"/>
    <col min="12299" max="12300" width="4.7109375" style="72" customWidth="1"/>
    <col min="12301" max="12301" width="9.140625" style="72"/>
    <col min="12302" max="12302" width="4.7109375" style="72" customWidth="1"/>
    <col min="12303" max="12303" width="9.5703125" style="72" customWidth="1"/>
    <col min="12304" max="12544" width="9.140625" style="72"/>
    <col min="12545" max="12545" width="2.7109375" style="72" customWidth="1"/>
    <col min="12546" max="12546" width="18.7109375" style="72" customWidth="1"/>
    <col min="12547" max="12547" width="11.42578125" style="72" customWidth="1"/>
    <col min="12548" max="12550" width="9.140625" style="72"/>
    <col min="12551" max="12551" width="12.85546875" style="72" customWidth="1"/>
    <col min="12552" max="12552" width="9.140625" style="72"/>
    <col min="12553" max="12553" width="4.7109375" style="72" customWidth="1"/>
    <col min="12554" max="12554" width="9.140625" style="72"/>
    <col min="12555" max="12556" width="4.7109375" style="72" customWidth="1"/>
    <col min="12557" max="12557" width="9.140625" style="72"/>
    <col min="12558" max="12558" width="4.7109375" style="72" customWidth="1"/>
    <col min="12559" max="12559" width="9.5703125" style="72" customWidth="1"/>
    <col min="12560" max="12800" width="9.140625" style="72"/>
    <col min="12801" max="12801" width="2.7109375" style="72" customWidth="1"/>
    <col min="12802" max="12802" width="18.7109375" style="72" customWidth="1"/>
    <col min="12803" max="12803" width="11.42578125" style="72" customWidth="1"/>
    <col min="12804" max="12806" width="9.140625" style="72"/>
    <col min="12807" max="12807" width="12.85546875" style="72" customWidth="1"/>
    <col min="12808" max="12808" width="9.140625" style="72"/>
    <col min="12809" max="12809" width="4.7109375" style="72" customWidth="1"/>
    <col min="12810" max="12810" width="9.140625" style="72"/>
    <col min="12811" max="12812" width="4.7109375" style="72" customWidth="1"/>
    <col min="12813" max="12813" width="9.140625" style="72"/>
    <col min="12814" max="12814" width="4.7109375" style="72" customWidth="1"/>
    <col min="12815" max="12815" width="9.5703125" style="72" customWidth="1"/>
    <col min="12816" max="13056" width="9.140625" style="72"/>
    <col min="13057" max="13057" width="2.7109375" style="72" customWidth="1"/>
    <col min="13058" max="13058" width="18.7109375" style="72" customWidth="1"/>
    <col min="13059" max="13059" width="11.42578125" style="72" customWidth="1"/>
    <col min="13060" max="13062" width="9.140625" style="72"/>
    <col min="13063" max="13063" width="12.85546875" style="72" customWidth="1"/>
    <col min="13064" max="13064" width="9.140625" style="72"/>
    <col min="13065" max="13065" width="4.7109375" style="72" customWidth="1"/>
    <col min="13066" max="13066" width="9.140625" style="72"/>
    <col min="13067" max="13068" width="4.7109375" style="72" customWidth="1"/>
    <col min="13069" max="13069" width="9.140625" style="72"/>
    <col min="13070" max="13070" width="4.7109375" style="72" customWidth="1"/>
    <col min="13071" max="13071" width="9.5703125" style="72" customWidth="1"/>
    <col min="13072" max="13312" width="9.140625" style="72"/>
    <col min="13313" max="13313" width="2.7109375" style="72" customWidth="1"/>
    <col min="13314" max="13314" width="18.7109375" style="72" customWidth="1"/>
    <col min="13315" max="13315" width="11.42578125" style="72" customWidth="1"/>
    <col min="13316" max="13318" width="9.140625" style="72"/>
    <col min="13319" max="13319" width="12.85546875" style="72" customWidth="1"/>
    <col min="13320" max="13320" width="9.140625" style="72"/>
    <col min="13321" max="13321" width="4.7109375" style="72" customWidth="1"/>
    <col min="13322" max="13322" width="9.140625" style="72"/>
    <col min="13323" max="13324" width="4.7109375" style="72" customWidth="1"/>
    <col min="13325" max="13325" width="9.140625" style="72"/>
    <col min="13326" max="13326" width="4.7109375" style="72" customWidth="1"/>
    <col min="13327" max="13327" width="9.5703125" style="72" customWidth="1"/>
    <col min="13328" max="13568" width="9.140625" style="72"/>
    <col min="13569" max="13569" width="2.7109375" style="72" customWidth="1"/>
    <col min="13570" max="13570" width="18.7109375" style="72" customWidth="1"/>
    <col min="13571" max="13571" width="11.42578125" style="72" customWidth="1"/>
    <col min="13572" max="13574" width="9.140625" style="72"/>
    <col min="13575" max="13575" width="12.85546875" style="72" customWidth="1"/>
    <col min="13576" max="13576" width="9.140625" style="72"/>
    <col min="13577" max="13577" width="4.7109375" style="72" customWidth="1"/>
    <col min="13578" max="13578" width="9.140625" style="72"/>
    <col min="13579" max="13580" width="4.7109375" style="72" customWidth="1"/>
    <col min="13581" max="13581" width="9.140625" style="72"/>
    <col min="13582" max="13582" width="4.7109375" style="72" customWidth="1"/>
    <col min="13583" max="13583" width="9.5703125" style="72" customWidth="1"/>
    <col min="13584" max="13824" width="9.140625" style="72"/>
    <col min="13825" max="13825" width="2.7109375" style="72" customWidth="1"/>
    <col min="13826" max="13826" width="18.7109375" style="72" customWidth="1"/>
    <col min="13827" max="13827" width="11.42578125" style="72" customWidth="1"/>
    <col min="13828" max="13830" width="9.140625" style="72"/>
    <col min="13831" max="13831" width="12.85546875" style="72" customWidth="1"/>
    <col min="13832" max="13832" width="9.140625" style="72"/>
    <col min="13833" max="13833" width="4.7109375" style="72" customWidth="1"/>
    <col min="13834" max="13834" width="9.140625" style="72"/>
    <col min="13835" max="13836" width="4.7109375" style="72" customWidth="1"/>
    <col min="13837" max="13837" width="9.140625" style="72"/>
    <col min="13838" max="13838" width="4.7109375" style="72" customWidth="1"/>
    <col min="13839" max="13839" width="9.5703125" style="72" customWidth="1"/>
    <col min="13840" max="14080" width="9.140625" style="72"/>
    <col min="14081" max="14081" width="2.7109375" style="72" customWidth="1"/>
    <col min="14082" max="14082" width="18.7109375" style="72" customWidth="1"/>
    <col min="14083" max="14083" width="11.42578125" style="72" customWidth="1"/>
    <col min="14084" max="14086" width="9.140625" style="72"/>
    <col min="14087" max="14087" width="12.85546875" style="72" customWidth="1"/>
    <col min="14088" max="14088" width="9.140625" style="72"/>
    <col min="14089" max="14089" width="4.7109375" style="72" customWidth="1"/>
    <col min="14090" max="14090" width="9.140625" style="72"/>
    <col min="14091" max="14092" width="4.7109375" style="72" customWidth="1"/>
    <col min="14093" max="14093" width="9.140625" style="72"/>
    <col min="14094" max="14094" width="4.7109375" style="72" customWidth="1"/>
    <col min="14095" max="14095" width="9.5703125" style="72" customWidth="1"/>
    <col min="14096" max="14336" width="9.140625" style="72"/>
    <col min="14337" max="14337" width="2.7109375" style="72" customWidth="1"/>
    <col min="14338" max="14338" width="18.7109375" style="72" customWidth="1"/>
    <col min="14339" max="14339" width="11.42578125" style="72" customWidth="1"/>
    <col min="14340" max="14342" width="9.140625" style="72"/>
    <col min="14343" max="14343" width="12.85546875" style="72" customWidth="1"/>
    <col min="14344" max="14344" width="9.140625" style="72"/>
    <col min="14345" max="14345" width="4.7109375" style="72" customWidth="1"/>
    <col min="14346" max="14346" width="9.140625" style="72"/>
    <col min="14347" max="14348" width="4.7109375" style="72" customWidth="1"/>
    <col min="14349" max="14349" width="9.140625" style="72"/>
    <col min="14350" max="14350" width="4.7109375" style="72" customWidth="1"/>
    <col min="14351" max="14351" width="9.5703125" style="72" customWidth="1"/>
    <col min="14352" max="14592" width="9.140625" style="72"/>
    <col min="14593" max="14593" width="2.7109375" style="72" customWidth="1"/>
    <col min="14594" max="14594" width="18.7109375" style="72" customWidth="1"/>
    <col min="14595" max="14595" width="11.42578125" style="72" customWidth="1"/>
    <col min="14596" max="14598" width="9.140625" style="72"/>
    <col min="14599" max="14599" width="12.85546875" style="72" customWidth="1"/>
    <col min="14600" max="14600" width="9.140625" style="72"/>
    <col min="14601" max="14601" width="4.7109375" style="72" customWidth="1"/>
    <col min="14602" max="14602" width="9.140625" style="72"/>
    <col min="14603" max="14604" width="4.7109375" style="72" customWidth="1"/>
    <col min="14605" max="14605" width="9.140625" style="72"/>
    <col min="14606" max="14606" width="4.7109375" style="72" customWidth="1"/>
    <col min="14607" max="14607" width="9.5703125" style="72" customWidth="1"/>
    <col min="14608" max="14848" width="9.140625" style="72"/>
    <col min="14849" max="14849" width="2.7109375" style="72" customWidth="1"/>
    <col min="14850" max="14850" width="18.7109375" style="72" customWidth="1"/>
    <col min="14851" max="14851" width="11.42578125" style="72" customWidth="1"/>
    <col min="14852" max="14854" width="9.140625" style="72"/>
    <col min="14855" max="14855" width="12.85546875" style="72" customWidth="1"/>
    <col min="14856" max="14856" width="9.140625" style="72"/>
    <col min="14857" max="14857" width="4.7109375" style="72" customWidth="1"/>
    <col min="14858" max="14858" width="9.140625" style="72"/>
    <col min="14859" max="14860" width="4.7109375" style="72" customWidth="1"/>
    <col min="14861" max="14861" width="9.140625" style="72"/>
    <col min="14862" max="14862" width="4.7109375" style="72" customWidth="1"/>
    <col min="14863" max="14863" width="9.5703125" style="72" customWidth="1"/>
    <col min="14864" max="15104" width="9.140625" style="72"/>
    <col min="15105" max="15105" width="2.7109375" style="72" customWidth="1"/>
    <col min="15106" max="15106" width="18.7109375" style="72" customWidth="1"/>
    <col min="15107" max="15107" width="11.42578125" style="72" customWidth="1"/>
    <col min="15108" max="15110" width="9.140625" style="72"/>
    <col min="15111" max="15111" width="12.85546875" style="72" customWidth="1"/>
    <col min="15112" max="15112" width="9.140625" style="72"/>
    <col min="15113" max="15113" width="4.7109375" style="72" customWidth="1"/>
    <col min="15114" max="15114" width="9.140625" style="72"/>
    <col min="15115" max="15116" width="4.7109375" style="72" customWidth="1"/>
    <col min="15117" max="15117" width="9.140625" style="72"/>
    <col min="15118" max="15118" width="4.7109375" style="72" customWidth="1"/>
    <col min="15119" max="15119" width="9.5703125" style="72" customWidth="1"/>
    <col min="15120" max="15360" width="9.140625" style="72"/>
    <col min="15361" max="15361" width="2.7109375" style="72" customWidth="1"/>
    <col min="15362" max="15362" width="18.7109375" style="72" customWidth="1"/>
    <col min="15363" max="15363" width="11.42578125" style="72" customWidth="1"/>
    <col min="15364" max="15366" width="9.140625" style="72"/>
    <col min="15367" max="15367" width="12.85546875" style="72" customWidth="1"/>
    <col min="15368" max="15368" width="9.140625" style="72"/>
    <col min="15369" max="15369" width="4.7109375" style="72" customWidth="1"/>
    <col min="15370" max="15370" width="9.140625" style="72"/>
    <col min="15371" max="15372" width="4.7109375" style="72" customWidth="1"/>
    <col min="15373" max="15373" width="9.140625" style="72"/>
    <col min="15374" max="15374" width="4.7109375" style="72" customWidth="1"/>
    <col min="15375" max="15375" width="9.5703125" style="72" customWidth="1"/>
    <col min="15376" max="15616" width="9.140625" style="72"/>
    <col min="15617" max="15617" width="2.7109375" style="72" customWidth="1"/>
    <col min="15618" max="15618" width="18.7109375" style="72" customWidth="1"/>
    <col min="15619" max="15619" width="11.42578125" style="72" customWidth="1"/>
    <col min="15620" max="15622" width="9.140625" style="72"/>
    <col min="15623" max="15623" width="12.85546875" style="72" customWidth="1"/>
    <col min="15624" max="15624" width="9.140625" style="72"/>
    <col min="15625" max="15625" width="4.7109375" style="72" customWidth="1"/>
    <col min="15626" max="15626" width="9.140625" style="72"/>
    <col min="15627" max="15628" width="4.7109375" style="72" customWidth="1"/>
    <col min="15629" max="15629" width="9.140625" style="72"/>
    <col min="15630" max="15630" width="4.7109375" style="72" customWidth="1"/>
    <col min="15631" max="15631" width="9.5703125" style="72" customWidth="1"/>
    <col min="15632" max="15872" width="9.140625" style="72"/>
    <col min="15873" max="15873" width="2.7109375" style="72" customWidth="1"/>
    <col min="15874" max="15874" width="18.7109375" style="72" customWidth="1"/>
    <col min="15875" max="15875" width="11.42578125" style="72" customWidth="1"/>
    <col min="15876" max="15878" width="9.140625" style="72"/>
    <col min="15879" max="15879" width="12.85546875" style="72" customWidth="1"/>
    <col min="15880" max="15880" width="9.140625" style="72"/>
    <col min="15881" max="15881" width="4.7109375" style="72" customWidth="1"/>
    <col min="15882" max="15882" width="9.140625" style="72"/>
    <col min="15883" max="15884" width="4.7109375" style="72" customWidth="1"/>
    <col min="15885" max="15885" width="9.140625" style="72"/>
    <col min="15886" max="15886" width="4.7109375" style="72" customWidth="1"/>
    <col min="15887" max="15887" width="9.5703125" style="72" customWidth="1"/>
    <col min="15888" max="16128" width="9.140625" style="72"/>
    <col min="16129" max="16129" width="2.7109375" style="72" customWidth="1"/>
    <col min="16130" max="16130" width="18.7109375" style="72" customWidth="1"/>
    <col min="16131" max="16131" width="11.42578125" style="72" customWidth="1"/>
    <col min="16132" max="16134" width="9.140625" style="72"/>
    <col min="16135" max="16135" width="12.85546875" style="72" customWidth="1"/>
    <col min="16136" max="16136" width="9.140625" style="72"/>
    <col min="16137" max="16137" width="4.7109375" style="72" customWidth="1"/>
    <col min="16138" max="16138" width="9.140625" style="72"/>
    <col min="16139" max="16140" width="4.7109375" style="72" customWidth="1"/>
    <col min="16141" max="16141" width="9.140625" style="72"/>
    <col min="16142" max="16142" width="4.7109375" style="72" customWidth="1"/>
    <col min="16143" max="16143" width="9.5703125" style="72" customWidth="1"/>
    <col min="16144" max="16384" width="9.140625" style="72"/>
  </cols>
  <sheetData>
    <row r="1" spans="1:15" s="69" customFormat="1" ht="20.25">
      <c r="A1" s="193" t="s">
        <v>149</v>
      </c>
      <c r="B1" s="193"/>
      <c r="C1" s="193"/>
      <c r="D1" s="193"/>
      <c r="E1" s="193"/>
      <c r="F1" s="193"/>
      <c r="G1" s="193"/>
      <c r="H1" s="193"/>
      <c r="I1" s="193"/>
      <c r="J1" s="193"/>
      <c r="K1" s="193"/>
      <c r="L1" s="193"/>
      <c r="M1" s="193"/>
      <c r="N1" s="193"/>
      <c r="O1" s="193"/>
    </row>
    <row r="2" spans="1:15" s="71" customFormat="1" ht="20.25">
      <c r="A2" s="70"/>
      <c r="B2" s="70"/>
      <c r="C2" s="70"/>
      <c r="D2" s="70"/>
      <c r="E2" s="70"/>
      <c r="F2" s="70"/>
      <c r="G2" s="70"/>
      <c r="H2" s="70"/>
      <c r="I2" s="70"/>
      <c r="J2" s="70"/>
      <c r="K2" s="70"/>
      <c r="L2" s="70"/>
      <c r="M2" s="70"/>
      <c r="N2" s="70"/>
      <c r="O2" s="70"/>
    </row>
    <row r="3" spans="1:15">
      <c r="B3" s="73" t="s">
        <v>150</v>
      </c>
      <c r="C3" s="192"/>
      <c r="D3" s="192"/>
      <c r="E3" s="192"/>
      <c r="G3" s="73" t="s">
        <v>151</v>
      </c>
      <c r="H3" s="192"/>
      <c r="I3" s="192"/>
      <c r="J3" s="192"/>
      <c r="L3" s="74"/>
      <c r="M3" s="75"/>
      <c r="N3" s="75"/>
      <c r="O3" s="76"/>
    </row>
    <row r="4" spans="1:15">
      <c r="B4" s="73" t="s">
        <v>152</v>
      </c>
      <c r="C4" s="192"/>
      <c r="D4" s="192"/>
      <c r="E4" s="192"/>
      <c r="G4" s="73" t="s">
        <v>153</v>
      </c>
      <c r="H4" s="192"/>
      <c r="I4" s="192"/>
      <c r="J4" s="192"/>
      <c r="L4" s="77"/>
      <c r="M4" s="72" t="s">
        <v>154</v>
      </c>
      <c r="N4" s="78"/>
      <c r="O4" s="79"/>
    </row>
    <row r="5" spans="1:15">
      <c r="B5" s="73" t="s">
        <v>155</v>
      </c>
      <c r="C5" s="192"/>
      <c r="D5" s="192"/>
      <c r="E5" s="192"/>
      <c r="G5" s="73" t="s">
        <v>156</v>
      </c>
      <c r="H5" s="192"/>
      <c r="I5" s="192"/>
      <c r="J5" s="192"/>
      <c r="L5" s="77"/>
      <c r="M5" s="72" t="s">
        <v>157</v>
      </c>
      <c r="N5" s="78"/>
      <c r="O5" s="79"/>
    </row>
    <row r="6" spans="1:15">
      <c r="B6" s="73" t="s">
        <v>158</v>
      </c>
      <c r="C6" s="192"/>
      <c r="D6" s="192"/>
      <c r="E6" s="192"/>
      <c r="G6" s="73" t="s">
        <v>159</v>
      </c>
      <c r="H6" s="192"/>
      <c r="I6" s="192"/>
      <c r="J6" s="192"/>
      <c r="L6" s="80"/>
      <c r="M6" s="81"/>
      <c r="N6" s="81"/>
      <c r="O6" s="82"/>
    </row>
    <row r="7" spans="1:15">
      <c r="A7" s="83"/>
    </row>
    <row r="8" spans="1:15">
      <c r="A8" s="84" t="s">
        <v>160</v>
      </c>
      <c r="B8" s="194" t="s">
        <v>161</v>
      </c>
      <c r="C8" s="194"/>
      <c r="D8" s="194"/>
      <c r="E8" s="194"/>
      <c r="F8" s="194"/>
      <c r="G8" s="194"/>
      <c r="H8" s="194"/>
      <c r="I8" s="194"/>
      <c r="J8" s="194"/>
      <c r="K8" s="194"/>
      <c r="L8" s="194"/>
      <c r="M8" s="194"/>
      <c r="N8" s="194"/>
      <c r="O8" s="194"/>
    </row>
    <row r="9" spans="1:15">
      <c r="A9" s="85"/>
      <c r="B9" s="195" t="s">
        <v>162</v>
      </c>
      <c r="C9" s="196"/>
      <c r="D9" s="197" t="s">
        <v>163</v>
      </c>
      <c r="E9" s="195"/>
      <c r="F9" s="195"/>
      <c r="G9" s="195"/>
      <c r="H9" s="195"/>
      <c r="I9" s="196"/>
      <c r="J9" s="197" t="s">
        <v>164</v>
      </c>
      <c r="K9" s="195"/>
      <c r="L9" s="195"/>
      <c r="M9" s="195"/>
      <c r="N9" s="195"/>
      <c r="O9" s="196"/>
    </row>
    <row r="10" spans="1:15" s="69" customFormat="1">
      <c r="A10" s="85"/>
      <c r="B10" s="198"/>
      <c r="C10" s="199"/>
      <c r="D10" s="200"/>
      <c r="E10" s="198"/>
      <c r="F10" s="198"/>
      <c r="G10" s="198"/>
      <c r="H10" s="198"/>
      <c r="I10" s="199"/>
      <c r="J10" s="200"/>
      <c r="K10" s="198"/>
      <c r="L10" s="198"/>
      <c r="M10" s="198"/>
      <c r="N10" s="198"/>
      <c r="O10" s="199"/>
    </row>
    <row r="11" spans="1:15" s="69" customFormat="1">
      <c r="A11" s="85"/>
      <c r="B11" s="198"/>
      <c r="C11" s="199"/>
      <c r="D11" s="200"/>
      <c r="E11" s="198"/>
      <c r="F11" s="198"/>
      <c r="G11" s="198"/>
      <c r="H11" s="198"/>
      <c r="I11" s="199"/>
      <c r="J11" s="200"/>
      <c r="K11" s="198"/>
      <c r="L11" s="198"/>
      <c r="M11" s="198"/>
      <c r="N11" s="198"/>
      <c r="O11" s="199"/>
    </row>
    <row r="12" spans="1:15" s="69" customFormat="1">
      <c r="A12" s="85"/>
      <c r="B12" s="198"/>
      <c r="C12" s="199"/>
      <c r="D12" s="200"/>
      <c r="E12" s="198"/>
      <c r="F12" s="198"/>
      <c r="G12" s="198"/>
      <c r="H12" s="198"/>
      <c r="I12" s="199"/>
      <c r="J12" s="200"/>
      <c r="K12" s="198"/>
      <c r="L12" s="198"/>
      <c r="M12" s="198"/>
      <c r="N12" s="198"/>
      <c r="O12" s="199"/>
    </row>
    <row r="13" spans="1:15" s="69" customFormat="1">
      <c r="A13" s="85"/>
      <c r="B13" s="198"/>
      <c r="C13" s="199"/>
      <c r="D13" s="200"/>
      <c r="E13" s="198"/>
      <c r="F13" s="198"/>
      <c r="G13" s="198"/>
      <c r="H13" s="198"/>
      <c r="I13" s="199"/>
      <c r="J13" s="200"/>
      <c r="K13" s="198"/>
      <c r="L13" s="198"/>
      <c r="M13" s="198"/>
      <c r="N13" s="198"/>
      <c r="O13" s="199"/>
    </row>
    <row r="14" spans="1:15" s="69" customFormat="1">
      <c r="A14" s="85"/>
      <c r="B14" s="198"/>
      <c r="C14" s="199"/>
      <c r="D14" s="200"/>
      <c r="E14" s="198"/>
      <c r="F14" s="198"/>
      <c r="G14" s="198"/>
      <c r="H14" s="198"/>
      <c r="I14" s="199"/>
      <c r="J14" s="200"/>
      <c r="K14" s="198"/>
      <c r="L14" s="198"/>
      <c r="M14" s="198"/>
      <c r="N14" s="198"/>
      <c r="O14" s="199"/>
    </row>
    <row r="15" spans="1:15" s="69" customFormat="1">
      <c r="A15" s="85"/>
      <c r="B15" s="198"/>
      <c r="C15" s="199"/>
      <c r="D15" s="200"/>
      <c r="E15" s="198"/>
      <c r="F15" s="198"/>
      <c r="G15" s="198"/>
      <c r="H15" s="198"/>
      <c r="I15" s="199"/>
      <c r="J15" s="200"/>
      <c r="K15" s="198"/>
      <c r="L15" s="198"/>
      <c r="M15" s="198"/>
      <c r="N15" s="198"/>
      <c r="O15" s="199"/>
    </row>
    <row r="16" spans="1:15" s="69" customFormat="1">
      <c r="A16" s="85"/>
      <c r="B16" s="198"/>
      <c r="C16" s="199"/>
      <c r="D16" s="200"/>
      <c r="E16" s="198"/>
      <c r="F16" s="198"/>
      <c r="G16" s="198"/>
      <c r="H16" s="198"/>
      <c r="I16" s="199"/>
      <c r="J16" s="200"/>
      <c r="K16" s="198"/>
      <c r="L16" s="198"/>
      <c r="M16" s="198"/>
      <c r="N16" s="198"/>
      <c r="O16" s="199"/>
    </row>
    <row r="17" spans="1:16" s="69" customFormat="1">
      <c r="A17" s="85"/>
      <c r="B17" s="198"/>
      <c r="C17" s="199"/>
      <c r="D17" s="200"/>
      <c r="E17" s="198"/>
      <c r="F17" s="198"/>
      <c r="G17" s="198"/>
      <c r="H17" s="198"/>
      <c r="I17" s="199"/>
      <c r="J17" s="200"/>
      <c r="K17" s="198"/>
      <c r="L17" s="198"/>
      <c r="M17" s="198"/>
      <c r="N17" s="198"/>
      <c r="O17" s="199"/>
    </row>
    <row r="18" spans="1:16" s="69" customFormat="1">
      <c r="A18" s="85"/>
      <c r="B18" s="198"/>
      <c r="C18" s="199"/>
      <c r="D18" s="200"/>
      <c r="E18" s="198"/>
      <c r="F18" s="198"/>
      <c r="G18" s="198"/>
      <c r="H18" s="198"/>
      <c r="I18" s="199"/>
      <c r="J18" s="200"/>
      <c r="K18" s="198"/>
      <c r="L18" s="198"/>
      <c r="M18" s="198"/>
      <c r="N18" s="198"/>
      <c r="O18" s="199"/>
    </row>
    <row r="19" spans="1:16" s="69" customFormat="1">
      <c r="A19" s="85"/>
      <c r="B19" s="198"/>
      <c r="C19" s="199"/>
      <c r="D19" s="200"/>
      <c r="E19" s="198"/>
      <c r="F19" s="198"/>
      <c r="G19" s="198"/>
      <c r="H19" s="198"/>
      <c r="I19" s="199"/>
      <c r="J19" s="200"/>
      <c r="K19" s="198"/>
      <c r="L19" s="198"/>
      <c r="M19" s="198"/>
      <c r="N19" s="198"/>
      <c r="O19" s="199"/>
    </row>
    <row r="20" spans="1:16" s="69" customFormat="1">
      <c r="A20" s="85"/>
      <c r="B20" s="198"/>
      <c r="C20" s="199"/>
      <c r="D20" s="200"/>
      <c r="E20" s="198"/>
      <c r="F20" s="198"/>
      <c r="G20" s="198"/>
      <c r="H20" s="198"/>
      <c r="I20" s="199"/>
      <c r="J20" s="200"/>
      <c r="K20" s="198"/>
      <c r="L20" s="198"/>
      <c r="M20" s="198"/>
      <c r="N20" s="198"/>
      <c r="O20" s="199"/>
    </row>
    <row r="21" spans="1:16" s="69" customFormat="1">
      <c r="A21" s="85"/>
      <c r="B21" s="198"/>
      <c r="C21" s="199"/>
      <c r="D21" s="200"/>
      <c r="E21" s="198"/>
      <c r="F21" s="198"/>
      <c r="G21" s="198"/>
      <c r="H21" s="198"/>
      <c r="I21" s="199"/>
      <c r="J21" s="200"/>
      <c r="K21" s="198"/>
      <c r="L21" s="198"/>
      <c r="M21" s="198"/>
      <c r="N21" s="198"/>
      <c r="O21" s="199"/>
    </row>
    <row r="22" spans="1:16" s="69" customFormat="1">
      <c r="A22" s="85"/>
      <c r="B22" s="198"/>
      <c r="C22" s="199"/>
      <c r="D22" s="200"/>
      <c r="E22" s="198"/>
      <c r="F22" s="198"/>
      <c r="G22" s="198"/>
      <c r="H22" s="198"/>
      <c r="I22" s="199"/>
      <c r="J22" s="200"/>
      <c r="K22" s="198"/>
      <c r="L22" s="198"/>
      <c r="M22" s="198"/>
      <c r="N22" s="198"/>
      <c r="O22" s="199"/>
    </row>
    <row r="23" spans="1:16" s="86" customFormat="1">
      <c r="B23" s="201" t="s">
        <v>165</v>
      </c>
      <c r="C23" s="202"/>
      <c r="D23" s="203" t="s">
        <v>166</v>
      </c>
      <c r="E23" s="203"/>
      <c r="F23" s="88"/>
      <c r="G23" s="87" t="s">
        <v>167</v>
      </c>
      <c r="H23" s="88"/>
      <c r="I23" s="89"/>
      <c r="J23" s="87"/>
      <c r="K23" s="87"/>
      <c r="L23" s="87" t="s">
        <v>168</v>
      </c>
      <c r="M23" s="90"/>
      <c r="N23" s="91"/>
      <c r="O23" s="92"/>
      <c r="P23" s="93"/>
    </row>
    <row r="24" spans="1:16">
      <c r="B24" s="194" t="s">
        <v>169</v>
      </c>
      <c r="C24" s="194"/>
      <c r="D24" s="94"/>
      <c r="F24" s="95"/>
      <c r="H24" s="96"/>
      <c r="I24" s="97"/>
      <c r="J24" s="97"/>
      <c r="K24" s="97"/>
      <c r="L24" s="97"/>
      <c r="M24" s="95"/>
      <c r="N24" s="95"/>
      <c r="O24" s="95"/>
      <c r="P24" s="95"/>
    </row>
    <row r="25" spans="1:16" s="86" customFormat="1" ht="11.25">
      <c r="B25" s="204"/>
      <c r="C25" s="204"/>
      <c r="D25" s="204"/>
      <c r="F25" s="93"/>
      <c r="H25" s="98" t="s">
        <v>170</v>
      </c>
      <c r="I25" s="93"/>
      <c r="J25" s="93"/>
      <c r="K25" s="93"/>
      <c r="L25" s="93"/>
      <c r="M25" s="93"/>
      <c r="N25" s="93"/>
      <c r="O25" s="93"/>
      <c r="P25" s="93"/>
    </row>
    <row r="26" spans="1:16">
      <c r="B26" s="204"/>
      <c r="C26" s="204"/>
      <c r="D26" s="204"/>
      <c r="F26" s="95"/>
      <c r="H26" s="99"/>
      <c r="I26" s="81"/>
      <c r="J26" s="81"/>
      <c r="K26" s="97"/>
      <c r="L26" s="81"/>
    </row>
    <row r="27" spans="1:16" s="86" customFormat="1" ht="11.25">
      <c r="B27" s="204"/>
      <c r="C27" s="204"/>
      <c r="D27" s="204"/>
      <c r="F27" s="93"/>
      <c r="H27" s="100" t="s">
        <v>171</v>
      </c>
      <c r="K27" s="93"/>
    </row>
    <row r="28" spans="1:16">
      <c r="B28" s="204"/>
      <c r="C28" s="204"/>
      <c r="D28" s="204"/>
      <c r="F28" s="95"/>
      <c r="H28" s="99"/>
      <c r="I28" s="81"/>
      <c r="J28" s="81"/>
      <c r="K28" s="97"/>
      <c r="L28" s="81"/>
    </row>
    <row r="29" spans="1:16" s="86" customFormat="1" ht="11.25">
      <c r="B29" s="205"/>
      <c r="C29" s="205"/>
      <c r="D29" s="205"/>
      <c r="F29" s="93"/>
      <c r="H29" s="100" t="s">
        <v>172</v>
      </c>
      <c r="K29" s="93"/>
    </row>
    <row r="30" spans="1:16">
      <c r="B30" s="206" t="s">
        <v>173</v>
      </c>
      <c r="C30" s="207"/>
      <c r="D30" s="208"/>
      <c r="F30" s="95"/>
      <c r="H30" s="99"/>
      <c r="I30" s="81"/>
      <c r="J30" s="81"/>
      <c r="K30" s="97"/>
      <c r="L30" s="81"/>
    </row>
    <row r="31" spans="1:16" s="86" customFormat="1" ht="11.25">
      <c r="B31" s="209"/>
      <c r="C31" s="210"/>
      <c r="D31" s="211"/>
      <c r="F31" s="93"/>
      <c r="H31" s="98" t="s">
        <v>174</v>
      </c>
      <c r="I31" s="93"/>
      <c r="J31" s="93"/>
      <c r="K31" s="93"/>
      <c r="L31" s="93"/>
      <c r="M31" s="93"/>
      <c r="N31" s="93"/>
      <c r="O31" s="101" t="s">
        <v>175</v>
      </c>
      <c r="P31" s="93"/>
    </row>
    <row r="32" spans="1:16">
      <c r="F32" s="95"/>
      <c r="G32" s="95"/>
      <c r="H32" s="102"/>
      <c r="I32" s="95"/>
      <c r="J32" s="95"/>
      <c r="K32" s="95"/>
      <c r="L32" s="95"/>
      <c r="M32" s="95"/>
      <c r="N32" s="95"/>
      <c r="O32" s="95"/>
    </row>
    <row r="33" spans="10:11">
      <c r="J33" s="95"/>
      <c r="K33" s="95"/>
    </row>
    <row r="34" spans="10:11">
      <c r="J34" s="95"/>
      <c r="K34" s="95"/>
    </row>
  </sheetData>
  <mergeCells count="58">
    <mergeCell ref="B24:C24"/>
    <mergeCell ref="B25:D29"/>
    <mergeCell ref="B30:D31"/>
    <mergeCell ref="B22:C22"/>
    <mergeCell ref="D22:I22"/>
    <mergeCell ref="J22:O22"/>
    <mergeCell ref="B23:C23"/>
    <mergeCell ref="D23:E23"/>
    <mergeCell ref="B20:C20"/>
    <mergeCell ref="D20:I20"/>
    <mergeCell ref="J20:O20"/>
    <mergeCell ref="B21:C21"/>
    <mergeCell ref="D21:I21"/>
    <mergeCell ref="J21:O21"/>
    <mergeCell ref="B18:C18"/>
    <mergeCell ref="D18:I18"/>
    <mergeCell ref="J18:O18"/>
    <mergeCell ref="B19:C19"/>
    <mergeCell ref="D19:I19"/>
    <mergeCell ref="J19:O19"/>
    <mergeCell ref="B16:C16"/>
    <mergeCell ref="D16:I16"/>
    <mergeCell ref="J16:O16"/>
    <mergeCell ref="B17:C17"/>
    <mergeCell ref="D17:I17"/>
    <mergeCell ref="J17:O17"/>
    <mergeCell ref="B14:C14"/>
    <mergeCell ref="D14:I14"/>
    <mergeCell ref="J14:O14"/>
    <mergeCell ref="B15:C15"/>
    <mergeCell ref="D15:I15"/>
    <mergeCell ref="J15:O15"/>
    <mergeCell ref="B12:C12"/>
    <mergeCell ref="D12:I12"/>
    <mergeCell ref="J12:O12"/>
    <mergeCell ref="B13:C13"/>
    <mergeCell ref="D13:I13"/>
    <mergeCell ref="J13:O13"/>
    <mergeCell ref="B10:C10"/>
    <mergeCell ref="D10:I10"/>
    <mergeCell ref="J10:O10"/>
    <mergeCell ref="B11:C11"/>
    <mergeCell ref="D11:I11"/>
    <mergeCell ref="J11:O11"/>
    <mergeCell ref="B8:K8"/>
    <mergeCell ref="L8:O8"/>
    <mergeCell ref="B9:C9"/>
    <mergeCell ref="D9:I9"/>
    <mergeCell ref="J9:O9"/>
    <mergeCell ref="C5:E5"/>
    <mergeCell ref="H5:J5"/>
    <mergeCell ref="C6:E6"/>
    <mergeCell ref="H6:J6"/>
    <mergeCell ref="A1:O1"/>
    <mergeCell ref="C3:E3"/>
    <mergeCell ref="H3:J3"/>
    <mergeCell ref="C4:E4"/>
    <mergeCell ref="H4:J4"/>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4337" r:id="rId3" name="Check Box 1">
              <controlPr defaultSize="0" autoFill="0" autoLine="0" autoPict="0">
                <anchor moveWithCells="1">
                  <from>
                    <xdr:col>13</xdr:col>
                    <xdr:colOff>38100</xdr:colOff>
                    <xdr:row>3</xdr:row>
                    <xdr:rowOff>19050</xdr:rowOff>
                  </from>
                  <to>
                    <xdr:col>14</xdr:col>
                    <xdr:colOff>28575</xdr:colOff>
                    <xdr:row>4</xdr:row>
                    <xdr:rowOff>76200</xdr:rowOff>
                  </to>
                </anchor>
              </controlPr>
            </control>
          </mc:Choice>
        </mc:AlternateContent>
        <mc:AlternateContent xmlns:mc="http://schemas.openxmlformats.org/markup-compatibility/2006">
          <mc:Choice Requires="x14">
            <control shapeId="14338" r:id="rId4" name="Check Box 2">
              <controlPr defaultSize="0" autoFill="0" autoLine="0" autoPict="0">
                <anchor moveWithCells="1">
                  <from>
                    <xdr:col>13</xdr:col>
                    <xdr:colOff>38100</xdr:colOff>
                    <xdr:row>4</xdr:row>
                    <xdr:rowOff>19050</xdr:rowOff>
                  </from>
                  <to>
                    <xdr:col>14</xdr:col>
                    <xdr:colOff>28575</xdr:colOff>
                    <xdr:row>5</xdr:row>
                    <xdr:rowOff>76200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ED217-4EE3-4C73-85AE-48953E4DF82E}">
  <dimension ref="A1:E74"/>
  <sheetViews>
    <sheetView workbookViewId="0">
      <selection activeCell="C3" sqref="C3"/>
    </sheetView>
  </sheetViews>
  <sheetFormatPr defaultColWidth="9.140625" defaultRowHeight="15"/>
  <cols>
    <col min="1" max="1" width="28" customWidth="1"/>
    <col min="2" max="2" width="26" customWidth="1"/>
    <col min="3" max="3" width="105.85546875" customWidth="1"/>
    <col min="4" max="4" width="46.140625" customWidth="1"/>
    <col min="5" max="5" width="10.28515625" customWidth="1"/>
  </cols>
  <sheetData>
    <row r="1" spans="1:3" ht="57.75" customHeight="1">
      <c r="A1" s="147" t="s">
        <v>311</v>
      </c>
      <c r="B1" s="148">
        <v>42537</v>
      </c>
    </row>
    <row r="2" spans="1:3" ht="36.75" customHeight="1"/>
    <row r="3" spans="1:3" ht="65.25" customHeight="1"/>
    <row r="4" spans="1:3" ht="53.25" customHeight="1"/>
    <row r="5" spans="1:3" ht="15.75" thickBot="1"/>
    <row r="6" spans="1:3" ht="24" thickBot="1">
      <c r="A6" s="212" t="s">
        <v>312</v>
      </c>
      <c r="B6" s="213"/>
      <c r="C6" s="214"/>
    </row>
    <row r="7" spans="1:3">
      <c r="A7" s="149" t="s">
        <v>313</v>
      </c>
      <c r="B7" s="149" t="s">
        <v>314</v>
      </c>
      <c r="C7" s="149" t="s">
        <v>315</v>
      </c>
    </row>
    <row r="8" spans="1:3" ht="60">
      <c r="A8" s="215" t="s">
        <v>316</v>
      </c>
      <c r="B8" s="150" t="s">
        <v>317</v>
      </c>
      <c r="C8" s="151" t="s">
        <v>318</v>
      </c>
    </row>
    <row r="9" spans="1:3">
      <c r="A9" s="216"/>
      <c r="B9" s="150" t="s">
        <v>319</v>
      </c>
      <c r="C9" s="151" t="s">
        <v>320</v>
      </c>
    </row>
    <row r="10" spans="1:3" ht="60">
      <c r="A10" s="216"/>
      <c r="B10" s="150" t="s">
        <v>321</v>
      </c>
      <c r="C10" s="151" t="s">
        <v>322</v>
      </c>
    </row>
    <row r="11" spans="1:3">
      <c r="A11" s="216"/>
      <c r="B11" s="150" t="s">
        <v>323</v>
      </c>
      <c r="C11" s="151" t="s">
        <v>324</v>
      </c>
    </row>
    <row r="12" spans="1:3">
      <c r="A12" s="216"/>
      <c r="B12" s="150" t="s">
        <v>325</v>
      </c>
      <c r="C12" s="151" t="s">
        <v>326</v>
      </c>
    </row>
    <row r="13" spans="1:3">
      <c r="A13" s="216"/>
      <c r="B13" s="150" t="s">
        <v>327</v>
      </c>
      <c r="C13" s="151" t="s">
        <v>328</v>
      </c>
    </row>
    <row r="14" spans="1:3">
      <c r="A14" s="216"/>
      <c r="B14" s="150" t="s">
        <v>329</v>
      </c>
      <c r="C14" s="151" t="s">
        <v>330</v>
      </c>
    </row>
    <row r="15" spans="1:3">
      <c r="A15" s="216"/>
      <c r="B15" s="150" t="s">
        <v>331</v>
      </c>
      <c r="C15" s="151" t="s">
        <v>332</v>
      </c>
    </row>
    <row r="16" spans="1:3" ht="45">
      <c r="A16" s="216"/>
      <c r="B16" s="150" t="s">
        <v>333</v>
      </c>
      <c r="C16" s="151" t="s">
        <v>334</v>
      </c>
    </row>
    <row r="17" spans="1:3" ht="45">
      <c r="A17" s="216"/>
      <c r="B17" s="150" t="s">
        <v>335</v>
      </c>
      <c r="C17" s="151" t="s">
        <v>336</v>
      </c>
    </row>
    <row r="18" spans="1:3">
      <c r="A18" s="216"/>
      <c r="B18" s="150" t="s">
        <v>337</v>
      </c>
      <c r="C18" s="151" t="s">
        <v>338</v>
      </c>
    </row>
    <row r="19" spans="1:3">
      <c r="A19" s="216"/>
      <c r="B19" s="150" t="s">
        <v>339</v>
      </c>
      <c r="C19" s="151" t="s">
        <v>340</v>
      </c>
    </row>
    <row r="20" spans="1:3">
      <c r="A20" s="216"/>
      <c r="B20" s="150" t="s">
        <v>341</v>
      </c>
      <c r="C20" s="151" t="s">
        <v>342</v>
      </c>
    </row>
    <row r="21" spans="1:3" ht="30">
      <c r="A21" s="216"/>
      <c r="B21" s="150" t="s">
        <v>343</v>
      </c>
      <c r="C21" s="151" t="s">
        <v>344</v>
      </c>
    </row>
    <row r="22" spans="1:3">
      <c r="A22" s="216"/>
      <c r="B22" s="150" t="s">
        <v>345</v>
      </c>
      <c r="C22" s="151" t="s">
        <v>346</v>
      </c>
    </row>
    <row r="23" spans="1:3" ht="30">
      <c r="A23" s="216"/>
      <c r="B23" s="150" t="s">
        <v>347</v>
      </c>
      <c r="C23" s="151" t="s">
        <v>348</v>
      </c>
    </row>
    <row r="24" spans="1:3">
      <c r="A24" s="216"/>
      <c r="B24" s="150" t="s">
        <v>349</v>
      </c>
      <c r="C24" s="151" t="s">
        <v>350</v>
      </c>
    </row>
    <row r="25" spans="1:3" ht="30">
      <c r="A25" s="216"/>
      <c r="B25" s="150" t="s">
        <v>351</v>
      </c>
      <c r="C25" s="151" t="s">
        <v>352</v>
      </c>
    </row>
    <row r="26" spans="1:3" ht="30">
      <c r="A26" s="216"/>
      <c r="B26" s="150" t="s">
        <v>353</v>
      </c>
      <c r="C26" s="151" t="s">
        <v>354</v>
      </c>
    </row>
    <row r="27" spans="1:3">
      <c r="A27" s="216"/>
      <c r="B27" s="150" t="s">
        <v>355</v>
      </c>
      <c r="C27" s="151" t="s">
        <v>356</v>
      </c>
    </row>
    <row r="28" spans="1:3" ht="45">
      <c r="A28" s="216"/>
      <c r="B28" s="150" t="s">
        <v>357</v>
      </c>
      <c r="C28" s="151" t="s">
        <v>358</v>
      </c>
    </row>
    <row r="29" spans="1:3" ht="60">
      <c r="A29" s="216"/>
      <c r="B29" s="150" t="s">
        <v>359</v>
      </c>
      <c r="C29" s="151" t="s">
        <v>360</v>
      </c>
    </row>
    <row r="30" spans="1:3" ht="30">
      <c r="A30" s="216"/>
      <c r="B30" s="150" t="s">
        <v>361</v>
      </c>
      <c r="C30" s="151" t="s">
        <v>362</v>
      </c>
    </row>
    <row r="31" spans="1:3" ht="60">
      <c r="A31" s="216"/>
      <c r="B31" s="150" t="s">
        <v>363</v>
      </c>
      <c r="C31" s="152" t="s">
        <v>364</v>
      </c>
    </row>
    <row r="32" spans="1:3" ht="59.25" customHeight="1">
      <c r="A32" s="216"/>
      <c r="B32" s="150" t="s">
        <v>365</v>
      </c>
      <c r="C32" s="153" t="s">
        <v>366</v>
      </c>
    </row>
    <row r="33" spans="1:3" ht="93" customHeight="1">
      <c r="A33" s="216"/>
      <c r="B33" s="150" t="s">
        <v>367</v>
      </c>
      <c r="C33" s="151" t="s">
        <v>368</v>
      </c>
    </row>
    <row r="34" spans="1:3" ht="45">
      <c r="A34" s="216"/>
      <c r="B34" s="150" t="s">
        <v>369</v>
      </c>
      <c r="C34" s="151" t="s">
        <v>370</v>
      </c>
    </row>
    <row r="35" spans="1:3" ht="90">
      <c r="A35" s="216"/>
      <c r="B35" s="150" t="s">
        <v>371</v>
      </c>
      <c r="C35" s="151" t="s">
        <v>372</v>
      </c>
    </row>
    <row r="36" spans="1:3" ht="120">
      <c r="A36" s="216"/>
      <c r="B36" s="150" t="s">
        <v>373</v>
      </c>
      <c r="C36" s="153" t="s">
        <v>374</v>
      </c>
    </row>
    <row r="37" spans="1:3" ht="60">
      <c r="A37" s="216"/>
      <c r="B37" s="150" t="s">
        <v>247</v>
      </c>
      <c r="C37" s="151" t="s">
        <v>375</v>
      </c>
    </row>
    <row r="38" spans="1:3" ht="30">
      <c r="A38" s="216"/>
      <c r="B38" s="150" t="s">
        <v>376</v>
      </c>
      <c r="C38" s="154" t="s">
        <v>377</v>
      </c>
    </row>
    <row r="39" spans="1:3" ht="30">
      <c r="A39" s="217"/>
      <c r="B39" s="150" t="s">
        <v>378</v>
      </c>
      <c r="C39" s="154" t="s">
        <v>379</v>
      </c>
    </row>
    <row r="40" spans="1:3">
      <c r="A40" s="218" t="s">
        <v>380</v>
      </c>
      <c r="B40" s="155" t="s">
        <v>381</v>
      </c>
      <c r="C40" s="151" t="s">
        <v>382</v>
      </c>
    </row>
    <row r="41" spans="1:3" ht="30">
      <c r="A41" s="218"/>
      <c r="B41" s="150" t="s">
        <v>383</v>
      </c>
      <c r="C41" s="154" t="s">
        <v>384</v>
      </c>
    </row>
    <row r="42" spans="1:3">
      <c r="A42" s="219"/>
      <c r="B42" s="150" t="s">
        <v>385</v>
      </c>
      <c r="C42" s="151" t="s">
        <v>386</v>
      </c>
    </row>
    <row r="43" spans="1:3" s="158" customFormat="1">
      <c r="A43" s="219"/>
      <c r="B43" s="156" t="s">
        <v>387</v>
      </c>
      <c r="C43" s="157" t="s">
        <v>388</v>
      </c>
    </row>
    <row r="44" spans="1:3" s="158" customFormat="1">
      <c r="A44" s="219"/>
      <c r="B44" s="156" t="s">
        <v>389</v>
      </c>
      <c r="C44" s="157" t="s">
        <v>390</v>
      </c>
    </row>
    <row r="45" spans="1:3" s="158" customFormat="1">
      <c r="A45" s="219"/>
      <c r="B45" s="156" t="s">
        <v>391</v>
      </c>
      <c r="C45" s="157" t="s">
        <v>392</v>
      </c>
    </row>
    <row r="46" spans="1:3" s="158" customFormat="1">
      <c r="A46" s="219"/>
      <c r="B46" s="156" t="s">
        <v>393</v>
      </c>
      <c r="C46" s="157" t="s">
        <v>394</v>
      </c>
    </row>
    <row r="47" spans="1:3" s="158" customFormat="1">
      <c r="A47" s="219"/>
      <c r="B47" s="156" t="s">
        <v>395</v>
      </c>
      <c r="C47" s="157" t="s">
        <v>396</v>
      </c>
    </row>
    <row r="48" spans="1:3" s="158" customFormat="1">
      <c r="A48" s="219"/>
      <c r="B48" s="156" t="s">
        <v>397</v>
      </c>
      <c r="C48" s="157" t="s">
        <v>398</v>
      </c>
    </row>
    <row r="49" spans="1:5">
      <c r="A49" s="219"/>
      <c r="B49" s="159" t="s">
        <v>399</v>
      </c>
      <c r="C49" s="160" t="s">
        <v>400</v>
      </c>
    </row>
    <row r="50" spans="1:5">
      <c r="A50" s="219"/>
      <c r="B50" s="155" t="s">
        <v>401</v>
      </c>
      <c r="C50" s="151" t="s">
        <v>402</v>
      </c>
    </row>
    <row r="51" spans="1:5" ht="30">
      <c r="A51" s="219"/>
      <c r="B51" s="155" t="s">
        <v>357</v>
      </c>
      <c r="C51" s="151" t="s">
        <v>403</v>
      </c>
    </row>
    <row r="52" spans="1:5">
      <c r="A52" s="219"/>
      <c r="B52" s="155" t="s">
        <v>343</v>
      </c>
      <c r="C52" s="151" t="s">
        <v>404</v>
      </c>
    </row>
    <row r="53" spans="1:5" ht="46.5" customHeight="1">
      <c r="A53" s="220" t="s">
        <v>405</v>
      </c>
      <c r="B53" s="150" t="s">
        <v>406</v>
      </c>
      <c r="C53" s="151" t="s">
        <v>407</v>
      </c>
    </row>
    <row r="54" spans="1:5" ht="37.15" customHeight="1">
      <c r="A54" s="221"/>
      <c r="B54" s="155" t="s">
        <v>408</v>
      </c>
      <c r="C54" s="151" t="s">
        <v>409</v>
      </c>
    </row>
    <row r="55" spans="1:5" ht="37.15" customHeight="1">
      <c r="A55" s="221"/>
      <c r="B55" s="155" t="s">
        <v>410</v>
      </c>
      <c r="C55" s="151" t="s">
        <v>411</v>
      </c>
    </row>
    <row r="56" spans="1:5" ht="37.15" customHeight="1">
      <c r="A56" s="221"/>
      <c r="B56" s="155" t="s">
        <v>412</v>
      </c>
      <c r="C56" s="151" t="s">
        <v>413</v>
      </c>
    </row>
    <row r="57" spans="1:5" ht="37.15" customHeight="1">
      <c r="A57" s="221"/>
      <c r="B57" s="155" t="s">
        <v>414</v>
      </c>
      <c r="C57" s="151" t="s">
        <v>415</v>
      </c>
    </row>
    <row r="60" spans="1:5">
      <c r="A60" t="s">
        <v>416</v>
      </c>
    </row>
    <row r="61" spans="1:5" ht="38.25">
      <c r="A61" s="161" t="s">
        <v>160</v>
      </c>
      <c r="B61" s="161" t="s">
        <v>417</v>
      </c>
      <c r="C61" s="161" t="s">
        <v>418</v>
      </c>
      <c r="D61" s="161" t="s">
        <v>131</v>
      </c>
      <c r="E61" s="161" t="s">
        <v>419</v>
      </c>
    </row>
    <row r="62" spans="1:5" ht="38.25">
      <c r="A62" s="162">
        <v>1</v>
      </c>
      <c r="B62" s="163" t="s">
        <v>420</v>
      </c>
      <c r="C62" s="163" t="s">
        <v>421</v>
      </c>
      <c r="D62" s="164">
        <v>42277</v>
      </c>
      <c r="E62" s="164" t="s">
        <v>422</v>
      </c>
    </row>
    <row r="63" spans="1:5" ht="38.25">
      <c r="A63" s="162">
        <v>2</v>
      </c>
      <c r="B63" s="163" t="s">
        <v>423</v>
      </c>
      <c r="C63" s="163" t="s">
        <v>424</v>
      </c>
      <c r="D63" s="164">
        <v>42277</v>
      </c>
      <c r="E63" s="164" t="s">
        <v>422</v>
      </c>
    </row>
    <row r="64" spans="1:5" ht="38.25">
      <c r="A64" s="162">
        <v>3</v>
      </c>
      <c r="B64" s="163" t="s">
        <v>425</v>
      </c>
      <c r="C64" s="163" t="s">
        <v>426</v>
      </c>
      <c r="D64" s="164">
        <v>42277</v>
      </c>
      <c r="E64" s="164" t="s">
        <v>422</v>
      </c>
    </row>
    <row r="65" spans="1:5" ht="51">
      <c r="A65" s="162">
        <v>4</v>
      </c>
      <c r="B65" s="163" t="s">
        <v>427</v>
      </c>
      <c r="C65" s="163"/>
      <c r="D65" s="164">
        <v>42277</v>
      </c>
      <c r="E65" s="164" t="s">
        <v>422</v>
      </c>
    </row>
    <row r="66" spans="1:5" ht="25.5">
      <c r="A66" s="162">
        <v>5</v>
      </c>
      <c r="B66" s="163" t="s">
        <v>428</v>
      </c>
      <c r="C66" s="163" t="s">
        <v>429</v>
      </c>
      <c r="D66" s="164">
        <v>42277</v>
      </c>
      <c r="E66" s="164" t="s">
        <v>422</v>
      </c>
    </row>
    <row r="67" spans="1:5" ht="25.5">
      <c r="A67" s="162">
        <v>6</v>
      </c>
      <c r="B67" s="163" t="s">
        <v>430</v>
      </c>
      <c r="C67" s="163" t="s">
        <v>431</v>
      </c>
      <c r="D67" s="164">
        <v>42277</v>
      </c>
      <c r="E67" s="164" t="s">
        <v>422</v>
      </c>
    </row>
    <row r="68" spans="1:5" ht="38.25">
      <c r="A68" s="162">
        <v>7</v>
      </c>
      <c r="B68" s="163" t="s">
        <v>432</v>
      </c>
      <c r="C68" s="163" t="s">
        <v>433</v>
      </c>
      <c r="D68" s="164">
        <v>42340</v>
      </c>
      <c r="E68" s="164" t="s">
        <v>422</v>
      </c>
    </row>
    <row r="69" spans="1:5" ht="51">
      <c r="A69" s="162">
        <v>8</v>
      </c>
      <c r="B69" s="163" t="s">
        <v>434</v>
      </c>
      <c r="C69" s="163" t="s">
        <v>435</v>
      </c>
      <c r="D69" s="164">
        <v>42415</v>
      </c>
      <c r="E69" s="164" t="s">
        <v>422</v>
      </c>
    </row>
    <row r="70" spans="1:5" ht="51">
      <c r="A70" s="162">
        <v>9</v>
      </c>
      <c r="B70" s="163" t="s">
        <v>436</v>
      </c>
      <c r="C70" s="163" t="s">
        <v>437</v>
      </c>
      <c r="D70" s="164">
        <v>42415</v>
      </c>
      <c r="E70" s="164" t="s">
        <v>422</v>
      </c>
    </row>
    <row r="71" spans="1:5" ht="38.25">
      <c r="A71" s="162">
        <v>10</v>
      </c>
      <c r="B71" s="163" t="s">
        <v>438</v>
      </c>
      <c r="C71" s="163"/>
      <c r="D71" s="164">
        <v>42415</v>
      </c>
      <c r="E71" s="164" t="s">
        <v>422</v>
      </c>
    </row>
    <row r="72" spans="1:5" ht="38.25">
      <c r="A72" s="162">
        <v>11</v>
      </c>
      <c r="B72" s="163" t="s">
        <v>439</v>
      </c>
      <c r="C72" s="165"/>
      <c r="D72" s="164">
        <v>42447</v>
      </c>
      <c r="E72" s="164" t="s">
        <v>422</v>
      </c>
    </row>
    <row r="73" spans="1:5" ht="38.25">
      <c r="A73" s="162">
        <v>12</v>
      </c>
      <c r="B73" s="163" t="s">
        <v>440</v>
      </c>
      <c r="C73" s="165" t="s">
        <v>441</v>
      </c>
      <c r="D73" s="164">
        <v>42447</v>
      </c>
      <c r="E73" s="164" t="s">
        <v>422</v>
      </c>
    </row>
    <row r="74" spans="1:5" ht="51">
      <c r="A74" s="162">
        <v>13</v>
      </c>
      <c r="B74" s="163" t="s">
        <v>442</v>
      </c>
      <c r="C74" s="165"/>
      <c r="D74" s="164">
        <v>42447</v>
      </c>
      <c r="E74" s="164" t="s">
        <v>422</v>
      </c>
    </row>
  </sheetData>
  <mergeCells count="4">
    <mergeCell ref="A6:C6"/>
    <mergeCell ref="A8:A39"/>
    <mergeCell ref="A40:A52"/>
    <mergeCell ref="A53:A5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3D54F2-2B73-4E7E-AF2B-3FEA1246EB72}">
  <dimension ref="A1:BI141"/>
  <sheetViews>
    <sheetView workbookViewId="0">
      <selection activeCell="J4" sqref="J4"/>
    </sheetView>
  </sheetViews>
  <sheetFormatPr defaultColWidth="8.85546875" defaultRowHeight="15"/>
  <sheetData>
    <row r="1" spans="1:61">
      <c r="A1" s="135"/>
      <c r="B1" s="135"/>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35"/>
      <c r="AQ1" s="135"/>
      <c r="AR1" s="135"/>
      <c r="AS1" s="135"/>
      <c r="AT1" s="135"/>
      <c r="AU1" s="135"/>
      <c r="AV1" s="135"/>
      <c r="AW1" s="135"/>
      <c r="AX1" s="135"/>
      <c r="AY1" s="135"/>
      <c r="AZ1" s="135"/>
      <c r="BA1" s="135"/>
      <c r="BB1" s="135"/>
      <c r="BC1" s="135"/>
      <c r="BD1" s="135"/>
      <c r="BE1" s="135"/>
      <c r="BF1" s="135"/>
      <c r="BG1" s="135"/>
      <c r="BH1" s="135"/>
      <c r="BI1" s="135"/>
    </row>
    <row r="2" spans="1:61" ht="18.75">
      <c r="A2" s="222" t="s">
        <v>245</v>
      </c>
      <c r="B2" s="222"/>
      <c r="C2" s="222" t="s">
        <v>200</v>
      </c>
      <c r="D2" s="222"/>
      <c r="E2" s="137" t="s">
        <v>131</v>
      </c>
      <c r="F2" s="135"/>
      <c r="G2" s="135"/>
      <c r="H2" s="135"/>
      <c r="I2" s="136"/>
      <c r="J2" s="135"/>
      <c r="K2" s="135"/>
      <c r="L2" s="135"/>
      <c r="M2" s="135"/>
      <c r="N2" s="135"/>
      <c r="O2" s="139" t="s">
        <v>260</v>
      </c>
      <c r="P2" s="140"/>
      <c r="Q2" s="140"/>
      <c r="R2" s="141"/>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row>
    <row r="3" spans="1:61" ht="18.75">
      <c r="A3" s="223"/>
      <c r="B3" s="223"/>
      <c r="C3" s="223"/>
      <c r="D3" s="223"/>
      <c r="E3" s="138"/>
      <c r="F3" s="135"/>
      <c r="G3" s="135"/>
      <c r="H3" s="135"/>
      <c r="I3" s="136"/>
      <c r="J3" s="135"/>
      <c r="K3" s="135"/>
      <c r="L3" s="135"/>
      <c r="M3" s="135"/>
      <c r="N3" s="135"/>
      <c r="O3" s="142" t="s">
        <v>261</v>
      </c>
      <c r="P3" s="143"/>
      <c r="Q3" s="143"/>
      <c r="R3" s="144"/>
      <c r="S3" s="135"/>
      <c r="T3" s="135"/>
      <c r="U3" s="135"/>
      <c r="V3" s="135"/>
      <c r="W3" s="135"/>
      <c r="X3" s="135"/>
      <c r="Y3" s="135"/>
      <c r="Z3" s="135"/>
      <c r="AA3" s="135"/>
      <c r="AB3" s="135"/>
      <c r="AC3" s="135"/>
      <c r="AD3" s="135"/>
      <c r="AE3" s="135"/>
      <c r="AF3" s="135"/>
      <c r="AG3" s="135"/>
      <c r="AH3" s="135"/>
      <c r="AI3" s="135"/>
      <c r="AJ3" s="135"/>
      <c r="AK3" s="135"/>
      <c r="AL3" s="135"/>
      <c r="AM3" s="135"/>
      <c r="AN3" s="135"/>
      <c r="AO3" s="135"/>
      <c r="AP3" s="135"/>
      <c r="AQ3" s="135"/>
      <c r="AR3" s="135"/>
      <c r="AS3" s="135"/>
      <c r="AT3" s="135"/>
      <c r="AU3" s="135"/>
      <c r="AV3" s="135"/>
      <c r="AW3" s="135"/>
      <c r="AX3" s="135"/>
      <c r="AY3" s="135"/>
      <c r="AZ3" s="135"/>
      <c r="BA3" s="135"/>
      <c r="BB3" s="135"/>
      <c r="BC3" s="135"/>
      <c r="BD3" s="135"/>
      <c r="BE3" s="135"/>
      <c r="BF3" s="135"/>
      <c r="BG3" s="135"/>
      <c r="BH3" s="135"/>
      <c r="BI3" s="135"/>
    </row>
    <row r="4" spans="1:61" ht="18.75">
      <c r="A4" s="135"/>
      <c r="B4" s="135"/>
      <c r="C4" s="135"/>
      <c r="D4" s="135"/>
      <c r="E4" s="135"/>
      <c r="F4" s="135"/>
      <c r="G4" s="135"/>
      <c r="H4" s="135"/>
      <c r="I4" s="136"/>
      <c r="J4" s="135"/>
      <c r="K4" s="135"/>
      <c r="L4" s="135"/>
      <c r="M4" s="135"/>
      <c r="N4" s="135"/>
      <c r="O4" s="145" t="s">
        <v>262</v>
      </c>
      <c r="P4" s="140"/>
      <c r="Q4" s="140"/>
      <c r="R4" s="141"/>
      <c r="S4" s="135"/>
      <c r="T4" s="135"/>
      <c r="U4" s="135"/>
      <c r="V4" s="135"/>
      <c r="W4" s="135"/>
      <c r="X4" s="135"/>
      <c r="Y4" s="135"/>
      <c r="Z4" s="135"/>
      <c r="AA4" s="135"/>
      <c r="AB4" s="135"/>
      <c r="AC4" s="135"/>
      <c r="AD4" s="135"/>
      <c r="AE4" s="135"/>
      <c r="AF4" s="135"/>
      <c r="AG4" s="135"/>
      <c r="AH4" s="135"/>
      <c r="AI4" s="135"/>
      <c r="AJ4" s="135"/>
      <c r="AK4" s="135"/>
      <c r="AL4" s="135"/>
      <c r="AM4" s="135"/>
      <c r="AN4" s="135"/>
      <c r="AO4" s="135"/>
      <c r="AP4" s="135"/>
      <c r="AQ4" s="135"/>
      <c r="AR4" s="135"/>
      <c r="AS4" s="135"/>
      <c r="AT4" s="135"/>
      <c r="AU4" s="135"/>
      <c r="AV4" s="135"/>
      <c r="AW4" s="135"/>
      <c r="AX4" s="135"/>
      <c r="AY4" s="135"/>
      <c r="AZ4" s="135"/>
      <c r="BA4" s="135"/>
      <c r="BB4" s="135"/>
      <c r="BC4" s="135"/>
      <c r="BD4" s="135"/>
      <c r="BE4" s="135"/>
      <c r="BF4" s="135"/>
      <c r="BG4" s="135"/>
      <c r="BH4" s="135"/>
      <c r="BI4" s="135"/>
    </row>
    <row r="5" spans="1:61" ht="18.75">
      <c r="G5" s="135"/>
      <c r="H5" s="135"/>
      <c r="I5" s="136"/>
      <c r="J5" s="135"/>
      <c r="K5" s="135"/>
      <c r="L5" s="135"/>
      <c r="M5" s="135"/>
      <c r="N5" s="135"/>
      <c r="O5" s="145" t="s">
        <v>263</v>
      </c>
      <c r="P5" s="140"/>
      <c r="Q5" s="140"/>
      <c r="R5" s="141"/>
      <c r="S5" s="135"/>
      <c r="T5" s="135"/>
      <c r="U5" s="135"/>
      <c r="V5" s="135"/>
      <c r="W5" s="135"/>
      <c r="X5" s="135"/>
      <c r="Y5" s="135"/>
      <c r="Z5" s="135"/>
      <c r="AA5" s="135"/>
      <c r="AB5" s="135"/>
      <c r="AC5" s="135"/>
      <c r="AD5" s="135"/>
      <c r="AE5" s="135"/>
      <c r="AF5" s="135"/>
      <c r="AG5" s="135"/>
      <c r="AH5" s="135"/>
      <c r="AI5" s="135"/>
      <c r="AJ5" s="135"/>
      <c r="AK5" s="135"/>
      <c r="AL5" s="135"/>
      <c r="AM5" s="135"/>
      <c r="AN5" s="135"/>
      <c r="AO5" s="135"/>
      <c r="AP5" s="135"/>
      <c r="AQ5" s="135"/>
      <c r="AR5" s="135"/>
      <c r="AS5" s="135"/>
      <c r="AT5" s="135"/>
      <c r="AU5" s="135"/>
      <c r="AV5" s="135"/>
      <c r="AW5" s="135"/>
      <c r="AX5" s="135"/>
      <c r="AY5" s="135"/>
      <c r="AZ5" s="135"/>
      <c r="BA5" s="135"/>
      <c r="BB5" s="135"/>
      <c r="BC5" s="135"/>
      <c r="BD5" s="135"/>
      <c r="BE5" s="135"/>
      <c r="BF5" s="135"/>
      <c r="BG5" s="135"/>
      <c r="BH5" s="135"/>
      <c r="BI5" s="135"/>
    </row>
    <row r="6" spans="1:61" ht="18.75">
      <c r="G6" s="135"/>
      <c r="H6" s="135"/>
      <c r="I6" s="136"/>
      <c r="J6" s="135"/>
      <c r="K6" s="135"/>
      <c r="L6" s="135"/>
      <c r="M6" s="135"/>
      <c r="N6" s="135"/>
      <c r="O6" s="145" t="s">
        <v>264</v>
      </c>
      <c r="P6" s="140"/>
      <c r="Q6" s="140"/>
      <c r="R6" s="141"/>
      <c r="S6" s="135"/>
      <c r="T6" s="135"/>
      <c r="U6" s="135"/>
      <c r="V6" s="135"/>
      <c r="W6" s="135"/>
      <c r="X6" s="135"/>
      <c r="Y6" s="135"/>
      <c r="Z6" s="135"/>
      <c r="AA6" s="135"/>
      <c r="AB6" s="135"/>
      <c r="AC6" s="135"/>
      <c r="AD6" s="135"/>
      <c r="AE6" s="135"/>
      <c r="AF6" s="135"/>
      <c r="AG6" s="135"/>
      <c r="AH6" s="135"/>
      <c r="AI6" s="135"/>
      <c r="AJ6" s="135"/>
      <c r="AK6" s="135"/>
      <c r="AL6" s="135"/>
      <c r="AM6" s="135"/>
      <c r="AN6" s="135"/>
      <c r="AO6" s="135"/>
      <c r="AP6" s="135"/>
      <c r="AQ6" s="135"/>
      <c r="AR6" s="135"/>
      <c r="AS6" s="135"/>
      <c r="AT6" s="135"/>
      <c r="AU6" s="135"/>
      <c r="AV6" s="135"/>
      <c r="AW6" s="135"/>
      <c r="AX6" s="135"/>
      <c r="AY6" s="135"/>
      <c r="AZ6" s="135"/>
      <c r="BA6" s="135"/>
      <c r="BB6" s="135"/>
      <c r="BC6" s="135"/>
      <c r="BD6" s="135"/>
      <c r="BE6" s="135"/>
      <c r="BF6" s="135"/>
      <c r="BG6" s="135"/>
      <c r="BH6" s="135"/>
      <c r="BI6" s="135"/>
    </row>
    <row r="7" spans="1:61" ht="18.75">
      <c r="G7" s="135"/>
      <c r="H7" s="135"/>
      <c r="I7" s="136"/>
      <c r="J7" s="135"/>
      <c r="K7" s="135"/>
      <c r="L7" s="135"/>
      <c r="M7" s="135"/>
      <c r="N7" s="136"/>
      <c r="O7" s="142" t="s">
        <v>265</v>
      </c>
      <c r="P7" s="143"/>
      <c r="Q7" s="143"/>
      <c r="R7" s="144"/>
      <c r="S7" s="135"/>
      <c r="T7" s="135"/>
      <c r="U7" s="135"/>
      <c r="V7" s="135"/>
      <c r="W7" s="135"/>
      <c r="X7" s="135"/>
      <c r="Y7" s="135"/>
      <c r="Z7" s="135"/>
      <c r="AA7" s="135"/>
      <c r="AB7" s="135"/>
      <c r="AC7" s="135"/>
      <c r="AD7" s="135"/>
      <c r="AE7" s="135"/>
      <c r="AF7" s="135"/>
      <c r="AG7" s="135"/>
      <c r="AH7" s="135"/>
      <c r="AI7" s="135"/>
      <c r="AJ7" s="135"/>
      <c r="AK7" s="135"/>
      <c r="AL7" s="135"/>
      <c r="AM7" s="135"/>
      <c r="AN7" s="135"/>
      <c r="AO7" s="135"/>
      <c r="AP7" s="135"/>
      <c r="AQ7" s="135"/>
      <c r="AR7" s="135"/>
      <c r="AS7" s="135"/>
      <c r="AT7" s="135"/>
      <c r="AU7" s="135"/>
      <c r="AV7" s="135"/>
      <c r="AW7" s="135"/>
      <c r="AX7" s="135"/>
      <c r="AY7" s="135"/>
      <c r="AZ7" s="135"/>
      <c r="BA7" s="135"/>
      <c r="BB7" s="135"/>
      <c r="BC7" s="135"/>
      <c r="BD7" s="135"/>
      <c r="BE7" s="135"/>
      <c r="BF7" s="135"/>
      <c r="BG7" s="135"/>
      <c r="BH7" s="135"/>
      <c r="BI7" s="135"/>
    </row>
    <row r="8" spans="1:61" ht="18.75" customHeight="1">
      <c r="A8" s="224" t="s">
        <v>246</v>
      </c>
      <c r="B8" s="225"/>
      <c r="C8" s="230" t="s">
        <v>247</v>
      </c>
      <c r="D8" s="231"/>
      <c r="E8" s="231"/>
      <c r="F8" s="231"/>
      <c r="G8" s="231"/>
      <c r="H8" s="231"/>
      <c r="I8" s="231"/>
      <c r="J8" s="231"/>
      <c r="K8" s="231"/>
      <c r="L8" s="232"/>
      <c r="M8" s="135"/>
      <c r="N8" s="135"/>
      <c r="S8" s="135"/>
      <c r="T8" s="135"/>
      <c r="U8" s="135"/>
      <c r="V8" s="135"/>
      <c r="W8" s="135"/>
      <c r="X8" s="135"/>
      <c r="Y8" s="135"/>
      <c r="Z8" s="135"/>
      <c r="AA8" s="135"/>
      <c r="AB8" s="135"/>
      <c r="AC8" s="135"/>
      <c r="AD8" s="135"/>
      <c r="AE8" s="135"/>
      <c r="AF8" s="135"/>
      <c r="AG8" s="135"/>
      <c r="AH8" s="135"/>
      <c r="AI8" s="135"/>
      <c r="AJ8" s="135"/>
      <c r="AK8" s="135"/>
      <c r="AL8" s="135"/>
      <c r="AM8" s="135"/>
      <c r="AN8" s="135"/>
      <c r="AO8" s="135"/>
      <c r="AP8" s="135"/>
      <c r="AQ8" s="135"/>
      <c r="AR8" s="135"/>
      <c r="AS8" s="135"/>
      <c r="AT8" s="135"/>
      <c r="AU8" s="135"/>
      <c r="AV8" s="135"/>
      <c r="AW8" s="135"/>
      <c r="AX8" s="135"/>
      <c r="AY8" s="135"/>
      <c r="AZ8" s="135"/>
      <c r="BA8" s="135"/>
      <c r="BB8" s="135"/>
      <c r="BC8" s="135"/>
      <c r="BD8" s="135"/>
      <c r="BE8" s="135"/>
      <c r="BF8" s="135"/>
      <c r="BG8" s="135"/>
      <c r="BH8" s="135"/>
      <c r="BI8" s="135"/>
    </row>
    <row r="9" spans="1:61" ht="18.75" customHeight="1">
      <c r="A9" s="226"/>
      <c r="B9" s="227"/>
      <c r="C9" s="233"/>
      <c r="D9" s="234"/>
      <c r="E9" s="234"/>
      <c r="F9" s="234"/>
      <c r="G9" s="234"/>
      <c r="H9" s="234"/>
      <c r="I9" s="234"/>
      <c r="J9" s="234"/>
      <c r="K9" s="234"/>
      <c r="L9" s="235"/>
      <c r="M9" s="135"/>
      <c r="N9" s="135"/>
      <c r="O9" s="139" t="s">
        <v>266</v>
      </c>
      <c r="P9" s="140"/>
      <c r="Q9" s="140"/>
      <c r="R9" s="141"/>
      <c r="S9" s="135"/>
      <c r="T9" s="135"/>
      <c r="U9" s="135"/>
      <c r="V9" s="135"/>
      <c r="W9" s="135"/>
      <c r="X9" s="135"/>
      <c r="Y9" s="135"/>
      <c r="Z9" s="135"/>
      <c r="AA9" s="135"/>
      <c r="AB9" s="135"/>
      <c r="AC9" s="135"/>
      <c r="AD9" s="135"/>
      <c r="AE9" s="135"/>
      <c r="AF9" s="135"/>
      <c r="AG9" s="135"/>
      <c r="AH9" s="135"/>
      <c r="AI9" s="135"/>
      <c r="AJ9" s="135"/>
      <c r="AK9" s="135"/>
      <c r="AL9" s="135"/>
      <c r="AM9" s="135"/>
      <c r="AN9" s="135"/>
      <c r="AO9" s="135"/>
      <c r="AP9" s="135"/>
      <c r="AQ9" s="135"/>
      <c r="AR9" s="135"/>
      <c r="AS9" s="135"/>
      <c r="AT9" s="135"/>
      <c r="AU9" s="135"/>
      <c r="AV9" s="135"/>
      <c r="AW9" s="135"/>
      <c r="AX9" s="135"/>
      <c r="AY9" s="135"/>
      <c r="AZ9" s="135"/>
      <c r="BA9" s="135"/>
      <c r="BB9" s="135"/>
      <c r="BC9" s="135"/>
      <c r="BD9" s="135"/>
      <c r="BE9" s="135"/>
      <c r="BF9" s="135"/>
      <c r="BG9" s="135"/>
      <c r="BH9" s="135"/>
      <c r="BI9" s="135"/>
    </row>
    <row r="10" spans="1:61" ht="18.75" customHeight="1">
      <c r="A10" s="226"/>
      <c r="B10" s="227"/>
      <c r="C10" s="236" t="s">
        <v>248</v>
      </c>
      <c r="D10" s="237"/>
      <c r="E10" s="236" t="s">
        <v>249</v>
      </c>
      <c r="F10" s="237"/>
      <c r="G10" s="236" t="s">
        <v>250</v>
      </c>
      <c r="H10" s="237"/>
      <c r="I10" s="240" t="s">
        <v>251</v>
      </c>
      <c r="J10" s="241"/>
      <c r="K10" s="236" t="s">
        <v>252</v>
      </c>
      <c r="L10" s="237"/>
      <c r="M10" s="135"/>
      <c r="N10" s="135"/>
      <c r="O10" s="145" t="s">
        <v>267</v>
      </c>
      <c r="P10" s="140"/>
      <c r="Q10" s="140"/>
      <c r="R10" s="141"/>
      <c r="S10" s="135"/>
      <c r="T10" s="135"/>
      <c r="U10" s="135"/>
      <c r="V10" s="135"/>
      <c r="W10" s="135"/>
      <c r="X10" s="135"/>
      <c r="Y10" s="135"/>
      <c r="Z10" s="135"/>
      <c r="AA10" s="135"/>
      <c r="AB10" s="135"/>
      <c r="AC10" s="135"/>
      <c r="AD10" s="135"/>
      <c r="AE10" s="135"/>
      <c r="AF10" s="135"/>
      <c r="AG10" s="135"/>
      <c r="AH10" s="135"/>
      <c r="AI10" s="135"/>
      <c r="AJ10" s="135"/>
      <c r="AK10" s="135"/>
      <c r="AL10" s="135"/>
      <c r="AM10" s="135"/>
      <c r="AN10" s="135"/>
      <c r="AO10" s="135"/>
      <c r="AP10" s="135"/>
      <c r="AQ10" s="135"/>
      <c r="AR10" s="135"/>
      <c r="AS10" s="135"/>
      <c r="AT10" s="135"/>
      <c r="AU10" s="135"/>
      <c r="AV10" s="135"/>
      <c r="AW10" s="135"/>
      <c r="AX10" s="135"/>
      <c r="AY10" s="135"/>
      <c r="AZ10" s="135"/>
      <c r="BA10" s="135"/>
      <c r="BB10" s="135"/>
      <c r="BC10" s="135"/>
      <c r="BD10" s="135"/>
      <c r="BE10" s="135"/>
      <c r="BF10" s="135"/>
      <c r="BG10" s="135"/>
      <c r="BH10" s="135"/>
      <c r="BI10" s="135"/>
    </row>
    <row r="11" spans="1:61">
      <c r="A11" s="228"/>
      <c r="B11" s="229"/>
      <c r="C11" s="238"/>
      <c r="D11" s="239"/>
      <c r="E11" s="238"/>
      <c r="F11" s="239"/>
      <c r="G11" s="238"/>
      <c r="H11" s="239"/>
      <c r="I11" s="242"/>
      <c r="J11" s="243"/>
      <c r="K11" s="238"/>
      <c r="L11" s="239"/>
      <c r="M11" s="135"/>
      <c r="N11" s="135"/>
      <c r="O11" s="145" t="s">
        <v>268</v>
      </c>
      <c r="P11" s="140"/>
      <c r="Q11" s="140"/>
      <c r="R11" s="141"/>
      <c r="S11" s="135"/>
      <c r="T11" s="135"/>
      <c r="U11" s="135"/>
      <c r="V11" s="135"/>
      <c r="W11" s="135"/>
      <c r="X11" s="135"/>
      <c r="Y11" s="135"/>
      <c r="Z11" s="135"/>
      <c r="AA11" s="135"/>
      <c r="AB11" s="135"/>
      <c r="AC11" s="135"/>
      <c r="AD11" s="135"/>
      <c r="AE11" s="135"/>
      <c r="AF11" s="135"/>
      <c r="AG11" s="135"/>
      <c r="AH11" s="135"/>
      <c r="AI11" s="135"/>
      <c r="AJ11" s="135"/>
      <c r="AK11" s="135"/>
      <c r="AL11" s="135"/>
      <c r="AM11" s="135"/>
      <c r="AN11" s="135"/>
      <c r="AO11" s="135"/>
      <c r="AP11" s="135"/>
      <c r="AQ11" s="135"/>
      <c r="AR11" s="135"/>
      <c r="AS11" s="135"/>
      <c r="AT11" s="135"/>
      <c r="AU11" s="135"/>
      <c r="AV11" s="135"/>
      <c r="AW11" s="135"/>
      <c r="AX11" s="135"/>
      <c r="AY11" s="135"/>
      <c r="AZ11" s="135"/>
      <c r="BA11" s="135"/>
      <c r="BB11" s="135"/>
      <c r="BC11" s="135"/>
      <c r="BD11" s="135"/>
      <c r="BE11" s="135"/>
      <c r="BF11" s="135"/>
      <c r="BG11" s="135"/>
      <c r="BH11" s="135"/>
      <c r="BI11" s="135"/>
    </row>
    <row r="12" spans="1:61" ht="15" customHeight="1">
      <c r="A12" s="244" t="s">
        <v>253</v>
      </c>
      <c r="B12" s="247" t="s">
        <v>254</v>
      </c>
      <c r="C12" s="250" t="s">
        <v>233</v>
      </c>
      <c r="D12" s="251"/>
      <c r="E12" s="256" t="s">
        <v>226</v>
      </c>
      <c r="F12" s="257"/>
      <c r="G12" s="262" t="s">
        <v>255</v>
      </c>
      <c r="H12" s="263"/>
      <c r="I12" s="262" t="s">
        <v>255</v>
      </c>
      <c r="J12" s="263"/>
      <c r="K12" s="262" t="s">
        <v>255</v>
      </c>
      <c r="L12" s="263"/>
      <c r="M12" s="135"/>
      <c r="N12" s="135"/>
      <c r="O12" s="145" t="s">
        <v>269</v>
      </c>
      <c r="P12" s="140"/>
      <c r="Q12" s="140"/>
      <c r="R12" s="141"/>
      <c r="S12" s="135"/>
      <c r="T12" s="135"/>
      <c r="U12" s="135"/>
      <c r="V12" s="135"/>
      <c r="W12" s="135"/>
      <c r="X12" s="135"/>
      <c r="Y12" s="135"/>
      <c r="Z12" s="135"/>
      <c r="AA12" s="135"/>
      <c r="AB12" s="135"/>
      <c r="AC12" s="135"/>
      <c r="AD12" s="135"/>
      <c r="AE12" s="135"/>
      <c r="AF12" s="135"/>
      <c r="AG12" s="135"/>
      <c r="AH12" s="135"/>
      <c r="AI12" s="135"/>
      <c r="AJ12" s="135"/>
      <c r="AK12" s="135"/>
      <c r="AL12" s="135"/>
      <c r="AM12" s="135"/>
      <c r="AN12" s="135"/>
      <c r="AO12" s="135"/>
      <c r="AP12" s="135"/>
      <c r="AQ12" s="135"/>
      <c r="AR12" s="135"/>
      <c r="AS12" s="135"/>
      <c r="AT12" s="135"/>
      <c r="AU12" s="135"/>
      <c r="AV12" s="135"/>
      <c r="AW12" s="135"/>
      <c r="AX12" s="135"/>
      <c r="AY12" s="135"/>
      <c r="AZ12" s="135"/>
      <c r="BA12" s="135"/>
      <c r="BB12" s="135"/>
      <c r="BC12" s="135"/>
      <c r="BD12" s="135"/>
      <c r="BE12" s="135"/>
      <c r="BF12" s="135"/>
      <c r="BG12" s="135"/>
      <c r="BH12" s="135"/>
      <c r="BI12" s="135"/>
    </row>
    <row r="13" spans="1:61" ht="18.75" customHeight="1">
      <c r="A13" s="245"/>
      <c r="B13" s="248"/>
      <c r="C13" s="252"/>
      <c r="D13" s="253"/>
      <c r="E13" s="258"/>
      <c r="F13" s="259"/>
      <c r="G13" s="264"/>
      <c r="H13" s="265"/>
      <c r="I13" s="264"/>
      <c r="J13" s="265"/>
      <c r="K13" s="264"/>
      <c r="L13" s="265"/>
      <c r="M13" s="135"/>
      <c r="N13" s="135"/>
      <c r="O13" s="145" t="s">
        <v>270</v>
      </c>
      <c r="P13" s="140"/>
      <c r="Q13" s="140"/>
      <c r="R13" s="141"/>
      <c r="S13" s="135"/>
      <c r="T13" s="135"/>
      <c r="U13" s="135"/>
      <c r="V13" s="135"/>
      <c r="W13" s="135"/>
      <c r="X13" s="135"/>
      <c r="Y13" s="135"/>
      <c r="Z13" s="135"/>
      <c r="AA13" s="135"/>
      <c r="AB13" s="135"/>
      <c r="AC13" s="135"/>
      <c r="AD13" s="135"/>
      <c r="AE13" s="135"/>
      <c r="AF13" s="135"/>
      <c r="AG13" s="135"/>
      <c r="AH13" s="135"/>
      <c r="AI13" s="135"/>
      <c r="AJ13" s="135"/>
      <c r="AK13" s="135"/>
      <c r="AL13" s="135"/>
      <c r="AM13" s="135"/>
      <c r="AN13" s="135"/>
      <c r="AO13" s="135"/>
      <c r="AP13" s="135"/>
      <c r="AQ13" s="135"/>
      <c r="AR13" s="135"/>
      <c r="AS13" s="135"/>
      <c r="AT13" s="135"/>
      <c r="AU13" s="135"/>
      <c r="AV13" s="135"/>
      <c r="AW13" s="135"/>
      <c r="AX13" s="135"/>
      <c r="AY13" s="135"/>
      <c r="AZ13" s="135"/>
      <c r="BA13" s="135"/>
      <c r="BB13" s="135"/>
      <c r="BC13" s="135"/>
      <c r="BD13" s="135"/>
      <c r="BE13" s="135"/>
      <c r="BF13" s="135"/>
      <c r="BG13" s="135"/>
      <c r="BH13" s="135"/>
      <c r="BI13" s="135"/>
    </row>
    <row r="14" spans="1:61">
      <c r="A14" s="245"/>
      <c r="B14" s="248"/>
      <c r="C14" s="252"/>
      <c r="D14" s="253"/>
      <c r="E14" s="258"/>
      <c r="F14" s="259"/>
      <c r="G14" s="264"/>
      <c r="H14" s="265"/>
      <c r="I14" s="264"/>
      <c r="J14" s="265"/>
      <c r="K14" s="264"/>
      <c r="L14" s="265"/>
      <c r="M14" s="135"/>
      <c r="N14" s="135"/>
      <c r="O14" s="142" t="s">
        <v>271</v>
      </c>
      <c r="P14" s="143"/>
      <c r="Q14" s="143"/>
      <c r="R14" s="144"/>
      <c r="S14" s="135"/>
      <c r="T14" s="135"/>
      <c r="U14" s="135"/>
      <c r="V14" s="135"/>
      <c r="W14" s="135"/>
      <c r="X14" s="135"/>
      <c r="Y14" s="135"/>
      <c r="Z14" s="135"/>
      <c r="AA14" s="135"/>
      <c r="AB14" s="135"/>
      <c r="AC14" s="135"/>
      <c r="AD14" s="135"/>
      <c r="AE14" s="135"/>
      <c r="AF14" s="135"/>
      <c r="AG14" s="135"/>
      <c r="AH14" s="135"/>
      <c r="AI14" s="135"/>
      <c r="AJ14" s="135"/>
      <c r="AK14" s="135"/>
      <c r="AL14" s="135"/>
      <c r="AM14" s="135"/>
      <c r="AN14" s="135"/>
      <c r="AO14" s="135"/>
      <c r="AP14" s="135"/>
      <c r="AQ14" s="135"/>
      <c r="AR14" s="135"/>
      <c r="AS14" s="135"/>
      <c r="AT14" s="135"/>
      <c r="AU14" s="135"/>
      <c r="AV14" s="135"/>
      <c r="AW14" s="135"/>
      <c r="AX14" s="135"/>
      <c r="AY14" s="135"/>
      <c r="AZ14" s="135"/>
      <c r="BA14" s="135"/>
      <c r="BB14" s="135"/>
      <c r="BC14" s="135"/>
      <c r="BD14" s="135"/>
      <c r="BE14" s="135"/>
      <c r="BF14" s="135"/>
      <c r="BG14" s="135"/>
      <c r="BH14" s="135"/>
      <c r="BI14" s="135"/>
    </row>
    <row r="15" spans="1:61">
      <c r="A15" s="245"/>
      <c r="B15" s="248"/>
      <c r="C15" s="252"/>
      <c r="D15" s="253"/>
      <c r="E15" s="258"/>
      <c r="F15" s="259"/>
      <c r="G15" s="264"/>
      <c r="H15" s="265"/>
      <c r="I15" s="264"/>
      <c r="J15" s="265"/>
      <c r="K15" s="264"/>
      <c r="L15" s="265"/>
      <c r="M15" s="135"/>
      <c r="N15" s="135"/>
      <c r="S15" s="135"/>
      <c r="T15" s="135"/>
      <c r="U15" s="135"/>
      <c r="V15" s="135"/>
      <c r="W15" s="135"/>
      <c r="X15" s="135"/>
      <c r="Y15" s="135"/>
      <c r="Z15" s="135"/>
      <c r="AA15" s="135"/>
      <c r="AB15" s="135"/>
      <c r="AC15" s="135"/>
      <c r="AD15" s="135"/>
      <c r="AE15" s="135"/>
      <c r="AF15" s="135"/>
      <c r="AG15" s="135"/>
      <c r="AH15" s="135"/>
      <c r="AI15" s="135"/>
      <c r="AJ15" s="135"/>
      <c r="AK15" s="135"/>
      <c r="AL15" s="135"/>
      <c r="AM15" s="135"/>
      <c r="AN15" s="135"/>
      <c r="AO15" s="135"/>
      <c r="AP15" s="135"/>
      <c r="AQ15" s="135"/>
      <c r="AR15" s="135"/>
      <c r="AS15" s="135"/>
      <c r="AT15" s="135"/>
      <c r="AU15" s="135"/>
      <c r="AV15" s="135"/>
      <c r="AW15" s="135"/>
      <c r="AX15" s="135"/>
      <c r="AY15" s="135"/>
      <c r="AZ15" s="135"/>
      <c r="BA15" s="135"/>
      <c r="BB15" s="135"/>
      <c r="BC15" s="135"/>
      <c r="BD15" s="135"/>
      <c r="BE15" s="135"/>
      <c r="BF15" s="135"/>
      <c r="BG15" s="135"/>
      <c r="BH15" s="135"/>
      <c r="BI15" s="135"/>
    </row>
    <row r="16" spans="1:61">
      <c r="A16" s="245"/>
      <c r="B16" s="249"/>
      <c r="C16" s="254"/>
      <c r="D16" s="255"/>
      <c r="E16" s="260"/>
      <c r="F16" s="261"/>
      <c r="G16" s="266"/>
      <c r="H16" s="267"/>
      <c r="I16" s="266"/>
      <c r="J16" s="267"/>
      <c r="K16" s="266"/>
      <c r="L16" s="267"/>
      <c r="M16" s="135"/>
      <c r="N16" s="135"/>
      <c r="O16" s="139" t="s">
        <v>272</v>
      </c>
      <c r="P16" s="140"/>
      <c r="Q16" s="140"/>
      <c r="R16" s="141"/>
      <c r="S16" s="135"/>
      <c r="T16" s="135"/>
      <c r="U16" s="135"/>
      <c r="V16" s="135"/>
      <c r="W16" s="135"/>
      <c r="X16" s="135"/>
      <c r="Y16" s="135"/>
      <c r="Z16" s="135"/>
      <c r="AA16" s="135"/>
      <c r="AB16" s="135"/>
      <c r="AC16" s="135"/>
      <c r="AD16" s="135"/>
      <c r="AE16" s="135"/>
      <c r="AF16" s="135"/>
      <c r="AG16" s="135"/>
      <c r="AH16" s="135"/>
      <c r="AI16" s="135"/>
      <c r="AJ16" s="135"/>
      <c r="AK16" s="135"/>
      <c r="AL16" s="135"/>
      <c r="AM16" s="135"/>
      <c r="AN16" s="135"/>
      <c r="AO16" s="135"/>
      <c r="AP16" s="135"/>
      <c r="AQ16" s="135"/>
      <c r="AR16" s="135"/>
      <c r="AS16" s="135"/>
      <c r="AT16" s="135"/>
      <c r="AU16" s="135"/>
      <c r="AV16" s="135"/>
      <c r="AW16" s="135"/>
      <c r="AX16" s="135"/>
      <c r="AY16" s="135"/>
      <c r="AZ16" s="135"/>
      <c r="BA16" s="135"/>
      <c r="BB16" s="135"/>
      <c r="BC16" s="135"/>
      <c r="BD16" s="135"/>
      <c r="BE16" s="135"/>
      <c r="BF16" s="135"/>
      <c r="BG16" s="135"/>
      <c r="BH16" s="135"/>
      <c r="BI16" s="135"/>
    </row>
    <row r="17" spans="1:61">
      <c r="A17" s="245"/>
      <c r="B17" s="247" t="s">
        <v>256</v>
      </c>
      <c r="C17" s="250" t="s">
        <v>233</v>
      </c>
      <c r="D17" s="251"/>
      <c r="E17" s="256" t="s">
        <v>226</v>
      </c>
      <c r="F17" s="257"/>
      <c r="G17" s="256" t="s">
        <v>226</v>
      </c>
      <c r="H17" s="257"/>
      <c r="I17" s="262" t="s">
        <v>255</v>
      </c>
      <c r="J17" s="263"/>
      <c r="K17" s="262" t="s">
        <v>255</v>
      </c>
      <c r="L17" s="263"/>
      <c r="M17" s="135"/>
      <c r="N17" s="135"/>
      <c r="O17" s="145" t="s">
        <v>273</v>
      </c>
      <c r="P17" s="140"/>
      <c r="Q17" s="140"/>
      <c r="R17" s="141"/>
      <c r="S17" s="135"/>
      <c r="T17" s="135"/>
      <c r="U17" s="135"/>
      <c r="V17" s="135"/>
      <c r="W17" s="135"/>
      <c r="X17" s="135"/>
      <c r="Y17" s="135"/>
      <c r="Z17" s="135"/>
      <c r="AA17" s="135"/>
      <c r="AB17" s="135"/>
      <c r="AC17" s="135"/>
      <c r="AD17" s="135"/>
      <c r="AE17" s="135"/>
      <c r="AF17" s="135"/>
      <c r="AG17" s="135"/>
      <c r="AH17" s="135"/>
      <c r="AI17" s="135"/>
      <c r="AJ17" s="135"/>
      <c r="AK17" s="135"/>
      <c r="AL17" s="135"/>
      <c r="AM17" s="135"/>
      <c r="AN17" s="135"/>
      <c r="AO17" s="135"/>
      <c r="AP17" s="135"/>
      <c r="AQ17" s="135"/>
      <c r="AR17" s="135"/>
      <c r="AS17" s="135"/>
      <c r="AT17" s="135"/>
      <c r="AU17" s="135"/>
      <c r="AV17" s="135"/>
      <c r="AW17" s="135"/>
      <c r="AX17" s="135"/>
      <c r="AY17" s="135"/>
      <c r="AZ17" s="135"/>
      <c r="BA17" s="135"/>
      <c r="BB17" s="135"/>
      <c r="BC17" s="135"/>
      <c r="BD17" s="135"/>
      <c r="BE17" s="135"/>
      <c r="BF17" s="135"/>
      <c r="BG17" s="135"/>
      <c r="BH17" s="135"/>
      <c r="BI17" s="135"/>
    </row>
    <row r="18" spans="1:61">
      <c r="A18" s="245"/>
      <c r="B18" s="248"/>
      <c r="C18" s="252"/>
      <c r="D18" s="253"/>
      <c r="E18" s="258"/>
      <c r="F18" s="259"/>
      <c r="G18" s="258"/>
      <c r="H18" s="259"/>
      <c r="I18" s="264"/>
      <c r="J18" s="265"/>
      <c r="K18" s="264"/>
      <c r="L18" s="265"/>
      <c r="M18" s="135"/>
      <c r="N18" s="135"/>
      <c r="O18" s="145" t="s">
        <v>274</v>
      </c>
      <c r="P18" s="140"/>
      <c r="Q18" s="140"/>
      <c r="R18" s="141"/>
      <c r="S18" s="135"/>
      <c r="T18" s="135"/>
      <c r="U18" s="135"/>
      <c r="V18" s="135"/>
      <c r="W18" s="135"/>
      <c r="X18" s="135"/>
      <c r="Y18" s="135"/>
      <c r="Z18" s="135"/>
      <c r="AA18" s="135"/>
      <c r="AB18" s="135"/>
      <c r="AC18" s="135"/>
      <c r="AD18" s="135"/>
      <c r="AE18" s="135"/>
      <c r="AF18" s="135"/>
      <c r="AG18" s="135"/>
      <c r="AH18" s="135"/>
      <c r="AI18" s="135"/>
      <c r="AJ18" s="135"/>
      <c r="AK18" s="135"/>
      <c r="AL18" s="135"/>
      <c r="AM18" s="135"/>
      <c r="AN18" s="135"/>
      <c r="AO18" s="135"/>
      <c r="AP18" s="135"/>
      <c r="AQ18" s="135"/>
      <c r="AR18" s="135"/>
      <c r="AS18" s="135"/>
      <c r="AT18" s="135"/>
      <c r="AU18" s="135"/>
      <c r="AV18" s="135"/>
      <c r="AW18" s="135"/>
      <c r="AX18" s="135"/>
      <c r="AY18" s="135"/>
      <c r="AZ18" s="135"/>
      <c r="BA18" s="135"/>
      <c r="BB18" s="135"/>
      <c r="BC18" s="135"/>
      <c r="BD18" s="135"/>
      <c r="BE18" s="135"/>
      <c r="BF18" s="135"/>
      <c r="BG18" s="135"/>
      <c r="BH18" s="135"/>
      <c r="BI18" s="135"/>
    </row>
    <row r="19" spans="1:61">
      <c r="A19" s="245"/>
      <c r="B19" s="248"/>
      <c r="C19" s="252"/>
      <c r="D19" s="253"/>
      <c r="E19" s="258"/>
      <c r="F19" s="259"/>
      <c r="G19" s="258"/>
      <c r="H19" s="259"/>
      <c r="I19" s="264"/>
      <c r="J19" s="265"/>
      <c r="K19" s="264"/>
      <c r="L19" s="265"/>
      <c r="M19" s="135"/>
      <c r="N19" s="135"/>
      <c r="O19" s="145" t="s">
        <v>275</v>
      </c>
      <c r="P19" s="140"/>
      <c r="Q19" s="140"/>
      <c r="R19" s="141"/>
      <c r="S19" s="135"/>
      <c r="T19" s="135"/>
      <c r="U19" s="135"/>
      <c r="V19" s="135"/>
      <c r="W19" s="135"/>
      <c r="X19" s="135"/>
      <c r="Y19" s="135"/>
      <c r="Z19" s="135"/>
      <c r="AA19" s="135"/>
      <c r="AB19" s="135"/>
      <c r="AC19" s="135"/>
      <c r="AD19" s="135"/>
      <c r="AE19" s="135"/>
      <c r="AF19" s="135"/>
      <c r="AG19" s="135"/>
      <c r="AH19" s="135"/>
      <c r="AI19" s="135"/>
      <c r="AJ19" s="135"/>
      <c r="AK19" s="135"/>
      <c r="AL19" s="135"/>
      <c r="AM19" s="135"/>
      <c r="AN19" s="135"/>
      <c r="AO19" s="135"/>
      <c r="AP19" s="135"/>
      <c r="AQ19" s="135"/>
      <c r="AR19" s="135"/>
      <c r="AS19" s="135"/>
      <c r="AT19" s="135"/>
      <c r="AU19" s="135"/>
      <c r="AV19" s="135"/>
      <c r="AW19" s="135"/>
      <c r="AX19" s="135"/>
      <c r="AY19" s="135"/>
      <c r="AZ19" s="135"/>
      <c r="BA19" s="135"/>
      <c r="BB19" s="135"/>
      <c r="BC19" s="135"/>
      <c r="BD19" s="135"/>
      <c r="BE19" s="135"/>
      <c r="BF19" s="135"/>
      <c r="BG19" s="135"/>
      <c r="BH19" s="135"/>
      <c r="BI19" s="135"/>
    </row>
    <row r="20" spans="1:61">
      <c r="A20" s="245"/>
      <c r="B20" s="248"/>
      <c r="C20" s="252"/>
      <c r="D20" s="253"/>
      <c r="E20" s="258"/>
      <c r="F20" s="259"/>
      <c r="G20" s="258"/>
      <c r="H20" s="259"/>
      <c r="I20" s="264"/>
      <c r="J20" s="265"/>
      <c r="K20" s="264"/>
      <c r="L20" s="265"/>
      <c r="M20" s="135"/>
      <c r="N20" s="135"/>
      <c r="O20" s="142" t="s">
        <v>276</v>
      </c>
      <c r="P20" s="143"/>
      <c r="Q20" s="143"/>
      <c r="R20" s="144"/>
      <c r="S20" s="135"/>
      <c r="T20" s="135"/>
      <c r="U20" s="135"/>
      <c r="V20" s="135"/>
      <c r="W20" s="135"/>
      <c r="X20" s="135"/>
      <c r="Y20" s="135"/>
      <c r="Z20" s="135"/>
      <c r="AA20" s="135"/>
      <c r="AB20" s="135"/>
      <c r="AC20" s="135"/>
      <c r="AD20" s="135"/>
      <c r="AE20" s="135"/>
      <c r="AF20" s="135"/>
      <c r="AG20" s="135"/>
      <c r="AH20" s="135"/>
      <c r="AI20" s="135"/>
      <c r="AJ20" s="135"/>
      <c r="AK20" s="135"/>
      <c r="AL20" s="135"/>
      <c r="AM20" s="135"/>
      <c r="AN20" s="135"/>
      <c r="AO20" s="135"/>
      <c r="AP20" s="135"/>
      <c r="AQ20" s="135"/>
      <c r="AR20" s="135"/>
      <c r="AS20" s="135"/>
      <c r="AT20" s="135"/>
      <c r="AU20" s="135"/>
      <c r="AV20" s="135"/>
      <c r="AW20" s="135"/>
      <c r="AX20" s="135"/>
      <c r="AY20" s="135"/>
      <c r="AZ20" s="135"/>
      <c r="BA20" s="135"/>
      <c r="BB20" s="135"/>
      <c r="BC20" s="135"/>
      <c r="BD20" s="135"/>
      <c r="BE20" s="135"/>
      <c r="BF20" s="135"/>
      <c r="BG20" s="135"/>
      <c r="BH20" s="135"/>
      <c r="BI20" s="135"/>
    </row>
    <row r="21" spans="1:61">
      <c r="A21" s="245"/>
      <c r="B21" s="249"/>
      <c r="C21" s="254"/>
      <c r="D21" s="255"/>
      <c r="E21" s="260"/>
      <c r="F21" s="261"/>
      <c r="G21" s="260"/>
      <c r="H21" s="261"/>
      <c r="I21" s="266"/>
      <c r="J21" s="267"/>
      <c r="K21" s="266"/>
      <c r="L21" s="267"/>
      <c r="M21" s="135"/>
      <c r="N21" s="135"/>
      <c r="O21" s="135"/>
      <c r="P21" s="135"/>
      <c r="Q21" s="135"/>
      <c r="R21" s="135"/>
      <c r="S21" s="135"/>
      <c r="T21" s="135"/>
      <c r="U21" s="135"/>
      <c r="V21" s="135"/>
      <c r="W21" s="135"/>
      <c r="X21" s="135"/>
      <c r="Y21" s="135"/>
      <c r="Z21" s="135"/>
      <c r="AA21" s="135"/>
      <c r="AB21" s="135"/>
      <c r="AC21" s="135"/>
      <c r="AD21" s="135"/>
      <c r="AE21" s="135"/>
      <c r="AF21" s="135"/>
      <c r="AG21" s="135"/>
      <c r="AH21" s="135"/>
      <c r="AI21" s="135"/>
      <c r="AJ21" s="135"/>
      <c r="AK21" s="135"/>
      <c r="AL21" s="135"/>
      <c r="AM21" s="135"/>
      <c r="AN21" s="135"/>
      <c r="AO21" s="135"/>
      <c r="AP21" s="135"/>
      <c r="AQ21" s="135"/>
      <c r="AR21" s="135"/>
      <c r="AS21" s="135"/>
      <c r="AT21" s="135"/>
      <c r="AU21" s="135"/>
      <c r="AV21" s="135"/>
      <c r="AW21" s="135"/>
      <c r="AX21" s="135"/>
      <c r="AY21" s="135"/>
      <c r="AZ21" s="135"/>
      <c r="BA21" s="135"/>
      <c r="BB21" s="135"/>
      <c r="BC21" s="135"/>
      <c r="BD21" s="135"/>
      <c r="BE21" s="135"/>
      <c r="BF21" s="135"/>
      <c r="BG21" s="135"/>
      <c r="BH21" s="135"/>
      <c r="BI21" s="135"/>
    </row>
    <row r="22" spans="1:61">
      <c r="A22" s="245"/>
      <c r="B22" s="247" t="s">
        <v>257</v>
      </c>
      <c r="C22" s="268" t="s">
        <v>242</v>
      </c>
      <c r="D22" s="269"/>
      <c r="E22" s="250" t="s">
        <v>233</v>
      </c>
      <c r="F22" s="251"/>
      <c r="G22" s="256" t="s">
        <v>226</v>
      </c>
      <c r="H22" s="257"/>
      <c r="I22" s="256" t="s">
        <v>226</v>
      </c>
      <c r="J22" s="257"/>
      <c r="K22" s="262" t="s">
        <v>255</v>
      </c>
      <c r="L22" s="263"/>
      <c r="M22" s="135"/>
      <c r="N22" s="135"/>
      <c r="O22" s="135"/>
      <c r="P22" s="135"/>
      <c r="Q22" s="135"/>
      <c r="R22" s="135"/>
      <c r="S22" s="135"/>
      <c r="T22" s="135"/>
      <c r="U22" s="135"/>
      <c r="V22" s="135"/>
      <c r="W22" s="135"/>
      <c r="X22" s="135"/>
      <c r="Y22" s="135"/>
      <c r="Z22" s="135"/>
      <c r="AA22" s="135"/>
      <c r="AB22" s="135"/>
      <c r="AC22" s="135"/>
      <c r="AD22" s="135"/>
      <c r="AE22" s="135"/>
      <c r="AF22" s="135"/>
      <c r="AG22" s="135"/>
      <c r="AH22" s="135"/>
      <c r="AI22" s="135"/>
      <c r="AJ22" s="135"/>
      <c r="AK22" s="135"/>
      <c r="AL22" s="135"/>
      <c r="AM22" s="135"/>
      <c r="AN22" s="135"/>
      <c r="AO22" s="135"/>
      <c r="AP22" s="135"/>
      <c r="AQ22" s="135"/>
      <c r="AR22" s="135"/>
      <c r="AS22" s="135"/>
      <c r="AT22" s="135"/>
      <c r="AU22" s="135"/>
      <c r="AV22" s="135"/>
      <c r="AW22" s="135"/>
      <c r="AX22" s="135"/>
      <c r="AY22" s="135"/>
      <c r="AZ22" s="135"/>
      <c r="BA22" s="135"/>
      <c r="BB22" s="135"/>
      <c r="BC22" s="135"/>
      <c r="BD22" s="135"/>
      <c r="BE22" s="135"/>
      <c r="BF22" s="135"/>
      <c r="BG22" s="135"/>
      <c r="BH22" s="135"/>
      <c r="BI22" s="135"/>
    </row>
    <row r="23" spans="1:61">
      <c r="A23" s="245"/>
      <c r="B23" s="248"/>
      <c r="C23" s="270"/>
      <c r="D23" s="271"/>
      <c r="E23" s="252"/>
      <c r="F23" s="253"/>
      <c r="G23" s="258"/>
      <c r="H23" s="259"/>
      <c r="I23" s="258"/>
      <c r="J23" s="259"/>
      <c r="K23" s="264"/>
      <c r="L23" s="265"/>
      <c r="M23" s="135"/>
      <c r="N23" s="135"/>
      <c r="O23" s="135"/>
      <c r="P23" s="135"/>
      <c r="Q23" s="135"/>
      <c r="R23" s="135"/>
      <c r="S23" s="135"/>
      <c r="T23" s="135"/>
      <c r="U23" s="135"/>
      <c r="V23" s="135"/>
      <c r="W23" s="135"/>
      <c r="X23" s="135"/>
      <c r="Y23" s="135"/>
      <c r="Z23" s="135"/>
      <c r="AA23" s="135"/>
      <c r="AB23" s="135"/>
      <c r="AC23" s="135"/>
      <c r="AD23" s="135"/>
      <c r="AE23" s="135"/>
      <c r="AF23" s="135"/>
      <c r="AG23" s="135"/>
      <c r="AH23" s="135"/>
      <c r="AI23" s="135"/>
      <c r="AJ23" s="135"/>
      <c r="AK23" s="135"/>
      <c r="AL23" s="135"/>
      <c r="AM23" s="135"/>
      <c r="AN23" s="135"/>
      <c r="AO23" s="135"/>
      <c r="AP23" s="135"/>
      <c r="AQ23" s="135"/>
      <c r="AR23" s="135"/>
      <c r="AS23" s="135"/>
      <c r="AT23" s="135"/>
      <c r="AU23" s="135"/>
      <c r="AV23" s="135"/>
      <c r="AW23" s="135"/>
      <c r="AX23" s="135"/>
      <c r="AY23" s="135"/>
      <c r="AZ23" s="135"/>
      <c r="BA23" s="135"/>
      <c r="BB23" s="135"/>
      <c r="BC23" s="135"/>
      <c r="BD23" s="135"/>
      <c r="BE23" s="135"/>
      <c r="BF23" s="135"/>
      <c r="BG23" s="135"/>
      <c r="BH23" s="135"/>
      <c r="BI23" s="135"/>
    </row>
    <row r="24" spans="1:61">
      <c r="A24" s="245"/>
      <c r="B24" s="248"/>
      <c r="C24" s="270"/>
      <c r="D24" s="271"/>
      <c r="E24" s="252"/>
      <c r="F24" s="253"/>
      <c r="G24" s="258"/>
      <c r="H24" s="259"/>
      <c r="I24" s="258"/>
      <c r="J24" s="259"/>
      <c r="K24" s="264"/>
      <c r="L24" s="265"/>
      <c r="M24" s="135"/>
      <c r="N24" s="135"/>
      <c r="O24" s="135"/>
      <c r="P24" s="135"/>
      <c r="Q24" s="135"/>
      <c r="R24" s="135"/>
      <c r="S24" s="135"/>
      <c r="T24" s="135"/>
      <c r="U24" s="135"/>
      <c r="V24" s="135"/>
      <c r="W24" s="135"/>
      <c r="X24" s="135"/>
      <c r="Y24" s="135"/>
      <c r="Z24" s="135"/>
      <c r="AA24" s="135"/>
      <c r="AB24" s="135"/>
      <c r="AC24" s="135"/>
      <c r="AD24" s="135"/>
      <c r="AE24" s="135"/>
      <c r="AF24" s="135"/>
      <c r="AG24" s="135"/>
      <c r="AH24" s="135"/>
      <c r="AI24" s="135"/>
      <c r="AJ24" s="135"/>
      <c r="AK24" s="135"/>
      <c r="AL24" s="135"/>
      <c r="AM24" s="135"/>
      <c r="AN24" s="135"/>
      <c r="AO24" s="135"/>
      <c r="AP24" s="135"/>
      <c r="AQ24" s="135"/>
      <c r="AR24" s="135"/>
      <c r="AS24" s="135"/>
      <c r="AT24" s="135"/>
      <c r="AU24" s="135"/>
      <c r="AV24" s="135"/>
      <c r="AW24" s="135"/>
      <c r="AX24" s="135"/>
      <c r="AY24" s="135"/>
      <c r="AZ24" s="135"/>
      <c r="BA24" s="135"/>
      <c r="BB24" s="135"/>
      <c r="BC24" s="135"/>
      <c r="BD24" s="135"/>
      <c r="BE24" s="135"/>
      <c r="BF24" s="135"/>
      <c r="BG24" s="135"/>
      <c r="BH24" s="135"/>
      <c r="BI24" s="135"/>
    </row>
    <row r="25" spans="1:61">
      <c r="A25" s="245"/>
      <c r="B25" s="248"/>
      <c r="C25" s="270"/>
      <c r="D25" s="271"/>
      <c r="E25" s="252"/>
      <c r="F25" s="253"/>
      <c r="G25" s="258"/>
      <c r="H25" s="259"/>
      <c r="I25" s="258"/>
      <c r="J25" s="259"/>
      <c r="K25" s="264"/>
      <c r="L25" s="265"/>
      <c r="M25" s="135"/>
      <c r="N25" s="135"/>
      <c r="O25" s="135"/>
      <c r="P25" s="135"/>
      <c r="Q25" s="135"/>
      <c r="R25" s="135"/>
      <c r="S25" s="135"/>
      <c r="T25" s="135"/>
      <c r="U25" s="135"/>
      <c r="V25" s="135"/>
      <c r="W25" s="135"/>
      <c r="X25" s="135"/>
      <c r="Y25" s="135"/>
      <c r="Z25" s="135"/>
      <c r="AA25" s="135"/>
      <c r="AB25" s="135"/>
      <c r="AC25" s="135"/>
      <c r="AD25" s="135"/>
      <c r="AE25" s="135"/>
      <c r="AF25" s="135"/>
      <c r="AG25" s="135"/>
      <c r="AH25" s="135"/>
      <c r="AI25" s="135"/>
      <c r="AJ25" s="135"/>
      <c r="AK25" s="135"/>
      <c r="AL25" s="135"/>
      <c r="AM25" s="135"/>
      <c r="AN25" s="135"/>
      <c r="AO25" s="135"/>
      <c r="AP25" s="135"/>
      <c r="AQ25" s="135"/>
      <c r="AR25" s="135"/>
      <c r="AS25" s="135"/>
      <c r="AT25" s="135"/>
      <c r="AU25" s="135"/>
      <c r="AV25" s="135"/>
      <c r="AW25" s="135"/>
      <c r="AX25" s="135"/>
      <c r="AY25" s="135"/>
      <c r="AZ25" s="135"/>
      <c r="BA25" s="135"/>
      <c r="BB25" s="135"/>
      <c r="BC25" s="135"/>
      <c r="BD25" s="135"/>
      <c r="BE25" s="135"/>
      <c r="BF25" s="135"/>
      <c r="BG25" s="135"/>
      <c r="BH25" s="135"/>
      <c r="BI25" s="135"/>
    </row>
    <row r="26" spans="1:61">
      <c r="A26" s="245"/>
      <c r="B26" s="249"/>
      <c r="C26" s="272"/>
      <c r="D26" s="273"/>
      <c r="E26" s="254"/>
      <c r="F26" s="255"/>
      <c r="G26" s="260"/>
      <c r="H26" s="261"/>
      <c r="I26" s="260"/>
      <c r="J26" s="261"/>
      <c r="K26" s="266"/>
      <c r="L26" s="267"/>
      <c r="M26" s="135"/>
      <c r="N26" s="135"/>
      <c r="O26" s="135"/>
      <c r="P26" s="135"/>
      <c r="Q26" s="135"/>
      <c r="R26" s="135"/>
      <c r="S26" s="135"/>
      <c r="T26" s="135"/>
      <c r="U26" s="135"/>
      <c r="V26" s="135"/>
      <c r="W26" s="135"/>
      <c r="X26" s="135"/>
      <c r="Y26" s="135"/>
      <c r="Z26" s="135"/>
      <c r="AA26" s="135"/>
      <c r="AB26" s="135"/>
      <c r="AC26" s="135"/>
      <c r="AD26" s="135"/>
      <c r="AE26" s="135"/>
      <c r="AF26" s="135"/>
      <c r="AG26" s="135"/>
      <c r="AH26" s="135"/>
      <c r="AI26" s="135"/>
      <c r="AJ26" s="135"/>
      <c r="AK26" s="135"/>
      <c r="AL26" s="135"/>
      <c r="AM26" s="135"/>
      <c r="AN26" s="135"/>
      <c r="AO26" s="135"/>
      <c r="AP26" s="135"/>
      <c r="AQ26" s="135"/>
      <c r="AR26" s="135"/>
      <c r="AS26" s="135"/>
      <c r="AT26" s="135"/>
      <c r="AU26" s="135"/>
      <c r="AV26" s="135"/>
      <c r="AW26" s="135"/>
      <c r="AX26" s="135"/>
      <c r="AY26" s="135"/>
      <c r="AZ26" s="135"/>
      <c r="BA26" s="135"/>
      <c r="BB26" s="135"/>
      <c r="BC26" s="135"/>
      <c r="BD26" s="135"/>
      <c r="BE26" s="135"/>
      <c r="BF26" s="135"/>
      <c r="BG26" s="135"/>
      <c r="BH26" s="135"/>
      <c r="BI26" s="135"/>
    </row>
    <row r="27" spans="1:61">
      <c r="A27" s="245"/>
      <c r="B27" s="247" t="s">
        <v>258</v>
      </c>
      <c r="C27" s="268" t="s">
        <v>242</v>
      </c>
      <c r="D27" s="269"/>
      <c r="E27" s="268" t="s">
        <v>242</v>
      </c>
      <c r="F27" s="269"/>
      <c r="G27" s="250" t="s">
        <v>233</v>
      </c>
      <c r="H27" s="251"/>
      <c r="I27" s="250" t="s">
        <v>233</v>
      </c>
      <c r="J27" s="251"/>
      <c r="K27" s="256" t="s">
        <v>226</v>
      </c>
      <c r="L27" s="257"/>
      <c r="M27" s="135"/>
      <c r="N27" s="135"/>
      <c r="O27" s="135"/>
      <c r="P27" s="135"/>
      <c r="Q27" s="135"/>
      <c r="R27" s="135"/>
      <c r="S27" s="135"/>
      <c r="T27" s="135"/>
      <c r="U27" s="135"/>
      <c r="V27" s="135"/>
      <c r="W27" s="135"/>
      <c r="X27" s="135"/>
      <c r="Y27" s="135"/>
      <c r="Z27" s="135"/>
      <c r="AA27" s="135"/>
      <c r="AB27" s="135"/>
      <c r="AC27" s="135"/>
      <c r="AD27" s="135"/>
      <c r="AE27" s="135"/>
      <c r="AF27" s="135"/>
      <c r="AG27" s="135"/>
      <c r="AH27" s="135"/>
      <c r="AI27" s="135"/>
      <c r="AJ27" s="135"/>
      <c r="AK27" s="135"/>
      <c r="AL27" s="135"/>
      <c r="AM27" s="135"/>
      <c r="AN27" s="135"/>
      <c r="AO27" s="135"/>
      <c r="AP27" s="135"/>
      <c r="AQ27" s="135"/>
      <c r="AR27" s="135"/>
      <c r="AS27" s="135"/>
      <c r="AT27" s="135"/>
      <c r="AU27" s="135"/>
      <c r="AV27" s="135"/>
      <c r="AW27" s="135"/>
      <c r="AX27" s="135"/>
      <c r="AY27" s="135"/>
      <c r="AZ27" s="135"/>
      <c r="BA27" s="135"/>
      <c r="BB27" s="135"/>
      <c r="BC27" s="135"/>
      <c r="BD27" s="135"/>
      <c r="BE27" s="135"/>
      <c r="BF27" s="135"/>
      <c r="BG27" s="135"/>
      <c r="BH27" s="135"/>
      <c r="BI27" s="135"/>
    </row>
    <row r="28" spans="1:61">
      <c r="A28" s="245"/>
      <c r="B28" s="248"/>
      <c r="C28" s="270"/>
      <c r="D28" s="271"/>
      <c r="E28" s="270"/>
      <c r="F28" s="271"/>
      <c r="G28" s="252"/>
      <c r="H28" s="253"/>
      <c r="I28" s="252"/>
      <c r="J28" s="253"/>
      <c r="K28" s="258"/>
      <c r="L28" s="259"/>
      <c r="M28" s="135"/>
      <c r="N28" s="135"/>
      <c r="O28" s="135"/>
      <c r="P28" s="135"/>
      <c r="Q28" s="135"/>
      <c r="R28" s="135"/>
      <c r="S28" s="135"/>
      <c r="T28" s="135"/>
      <c r="U28" s="135"/>
      <c r="V28" s="135"/>
      <c r="W28" s="135"/>
      <c r="X28" s="135"/>
      <c r="Y28" s="135"/>
      <c r="Z28" s="135"/>
      <c r="AA28" s="135"/>
      <c r="AB28" s="135"/>
      <c r="AC28" s="135"/>
      <c r="AD28" s="135"/>
      <c r="AE28" s="135"/>
      <c r="AF28" s="135"/>
      <c r="AG28" s="135"/>
      <c r="AH28" s="135"/>
      <c r="AI28" s="135"/>
      <c r="AJ28" s="135"/>
      <c r="AK28" s="135"/>
      <c r="AL28" s="135"/>
      <c r="AM28" s="135"/>
      <c r="AN28" s="135"/>
      <c r="AO28" s="135"/>
      <c r="AP28" s="135"/>
      <c r="AQ28" s="135"/>
      <c r="AR28" s="135"/>
      <c r="AS28" s="135"/>
      <c r="AT28" s="135"/>
      <c r="AU28" s="135"/>
      <c r="AV28" s="135"/>
      <c r="AW28" s="135"/>
      <c r="AX28" s="135"/>
      <c r="AY28" s="135"/>
      <c r="AZ28" s="135"/>
      <c r="BA28" s="135"/>
      <c r="BB28" s="135"/>
      <c r="BC28" s="135"/>
      <c r="BD28" s="135"/>
      <c r="BE28" s="135"/>
      <c r="BF28" s="135"/>
      <c r="BG28" s="135"/>
      <c r="BH28" s="135"/>
      <c r="BI28" s="135"/>
    </row>
    <row r="29" spans="1:61">
      <c r="A29" s="245"/>
      <c r="B29" s="248"/>
      <c r="C29" s="270"/>
      <c r="D29" s="271"/>
      <c r="E29" s="270"/>
      <c r="F29" s="271"/>
      <c r="G29" s="252"/>
      <c r="H29" s="253"/>
      <c r="I29" s="252"/>
      <c r="J29" s="253"/>
      <c r="K29" s="258"/>
      <c r="L29" s="259"/>
      <c r="M29" s="135"/>
      <c r="N29" s="135"/>
      <c r="O29" s="135"/>
      <c r="P29" s="135"/>
      <c r="Q29" s="135"/>
      <c r="R29" s="135"/>
      <c r="S29" s="135"/>
      <c r="T29" s="135"/>
      <c r="U29" s="135"/>
      <c r="V29" s="135"/>
      <c r="W29" s="135"/>
      <c r="X29" s="135"/>
      <c r="Y29" s="135"/>
      <c r="Z29" s="135"/>
      <c r="AA29" s="135"/>
      <c r="AB29" s="135"/>
      <c r="AC29" s="135"/>
      <c r="AD29" s="135"/>
      <c r="AE29" s="135"/>
      <c r="AF29" s="135"/>
      <c r="AG29" s="135"/>
      <c r="AH29" s="135"/>
      <c r="AI29" s="135"/>
      <c r="AJ29" s="135"/>
      <c r="AK29" s="135"/>
      <c r="AL29" s="135"/>
      <c r="AM29" s="135"/>
      <c r="AN29" s="135"/>
      <c r="AO29" s="135"/>
      <c r="AP29" s="135"/>
      <c r="AQ29" s="135"/>
      <c r="AR29" s="135"/>
      <c r="AS29" s="135"/>
      <c r="AT29" s="135"/>
      <c r="AU29" s="135"/>
      <c r="AV29" s="135"/>
      <c r="AW29" s="135"/>
      <c r="AX29" s="135"/>
      <c r="AY29" s="135"/>
      <c r="AZ29" s="135"/>
      <c r="BA29" s="135"/>
      <c r="BB29" s="135"/>
      <c r="BC29" s="135"/>
      <c r="BD29" s="135"/>
      <c r="BE29" s="135"/>
      <c r="BF29" s="135"/>
      <c r="BG29" s="135"/>
      <c r="BH29" s="135"/>
      <c r="BI29" s="135"/>
    </row>
    <row r="30" spans="1:61">
      <c r="A30" s="245"/>
      <c r="B30" s="248"/>
      <c r="C30" s="270"/>
      <c r="D30" s="271"/>
      <c r="E30" s="270"/>
      <c r="F30" s="271"/>
      <c r="G30" s="252"/>
      <c r="H30" s="253"/>
      <c r="I30" s="252"/>
      <c r="J30" s="253"/>
      <c r="K30" s="258"/>
      <c r="L30" s="259"/>
      <c r="M30" s="135"/>
      <c r="N30" s="135"/>
      <c r="O30" s="135"/>
      <c r="P30" s="135"/>
      <c r="Q30" s="135"/>
      <c r="R30" s="135"/>
      <c r="S30" s="135"/>
      <c r="T30" s="135"/>
      <c r="U30" s="135"/>
      <c r="V30" s="135"/>
      <c r="W30" s="135"/>
      <c r="X30" s="135"/>
      <c r="Y30" s="135"/>
      <c r="Z30" s="135"/>
      <c r="AA30" s="135"/>
      <c r="AB30" s="135"/>
      <c r="AC30" s="135"/>
      <c r="AD30" s="135"/>
      <c r="AE30" s="135"/>
      <c r="AF30" s="135"/>
      <c r="AG30" s="135"/>
      <c r="AH30" s="135"/>
      <c r="AI30" s="135"/>
      <c r="AJ30" s="135"/>
      <c r="AK30" s="135"/>
      <c r="AL30" s="135"/>
      <c r="AM30" s="135"/>
      <c r="AN30" s="135"/>
      <c r="AO30" s="135"/>
      <c r="AP30" s="135"/>
      <c r="AQ30" s="135"/>
      <c r="AR30" s="135"/>
      <c r="AS30" s="135"/>
      <c r="AT30" s="135"/>
      <c r="AU30" s="135"/>
      <c r="AV30" s="135"/>
      <c r="AW30" s="135"/>
      <c r="AX30" s="135"/>
      <c r="AY30" s="135"/>
      <c r="AZ30" s="135"/>
      <c r="BA30" s="135"/>
      <c r="BB30" s="135"/>
      <c r="BC30" s="135"/>
      <c r="BD30" s="135"/>
      <c r="BE30" s="135"/>
      <c r="BF30" s="135"/>
      <c r="BG30" s="135"/>
      <c r="BH30" s="135"/>
      <c r="BI30" s="135"/>
    </row>
    <row r="31" spans="1:61">
      <c r="A31" s="245"/>
      <c r="B31" s="249"/>
      <c r="C31" s="272"/>
      <c r="D31" s="273"/>
      <c r="E31" s="272"/>
      <c r="F31" s="273"/>
      <c r="G31" s="254"/>
      <c r="H31" s="255"/>
      <c r="I31" s="254"/>
      <c r="J31" s="255"/>
      <c r="K31" s="260"/>
      <c r="L31" s="261"/>
      <c r="M31" s="135"/>
      <c r="N31" s="135"/>
      <c r="O31" s="135"/>
      <c r="P31" s="135"/>
      <c r="Q31" s="135"/>
      <c r="R31" s="135"/>
      <c r="S31" s="135"/>
      <c r="T31" s="135"/>
      <c r="U31" s="135"/>
      <c r="V31" s="135"/>
      <c r="W31" s="135"/>
      <c r="X31" s="135"/>
      <c r="Y31" s="135"/>
      <c r="Z31" s="135"/>
      <c r="AA31" s="135"/>
      <c r="AB31" s="135"/>
      <c r="AC31" s="135"/>
      <c r="AD31" s="135"/>
      <c r="AE31" s="135"/>
      <c r="AF31" s="135"/>
      <c r="AG31" s="135"/>
      <c r="AH31" s="135"/>
      <c r="AI31" s="135"/>
      <c r="AJ31" s="135"/>
      <c r="AK31" s="135"/>
      <c r="AL31" s="135"/>
      <c r="AM31" s="135"/>
      <c r="AN31" s="135"/>
      <c r="AO31" s="135"/>
      <c r="AP31" s="135"/>
      <c r="AQ31" s="135"/>
      <c r="AR31" s="135"/>
      <c r="AS31" s="135"/>
      <c r="AT31" s="135"/>
      <c r="AU31" s="135"/>
      <c r="AV31" s="135"/>
      <c r="AW31" s="135"/>
      <c r="AX31" s="135"/>
      <c r="AY31" s="135"/>
      <c r="AZ31" s="135"/>
      <c r="BA31" s="135"/>
      <c r="BB31" s="135"/>
      <c r="BC31" s="135"/>
      <c r="BD31" s="135"/>
      <c r="BE31" s="135"/>
      <c r="BF31" s="135"/>
      <c r="BG31" s="135"/>
      <c r="BH31" s="135"/>
      <c r="BI31" s="135"/>
    </row>
    <row r="32" spans="1:61">
      <c r="A32" s="245"/>
      <c r="B32" s="247" t="s">
        <v>259</v>
      </c>
      <c r="C32" s="268" t="s">
        <v>242</v>
      </c>
      <c r="D32" s="269"/>
      <c r="E32" s="268" t="s">
        <v>242</v>
      </c>
      <c r="F32" s="269"/>
      <c r="G32" s="268" t="s">
        <v>242</v>
      </c>
      <c r="H32" s="269"/>
      <c r="I32" s="268" t="s">
        <v>242</v>
      </c>
      <c r="J32" s="269"/>
      <c r="K32" s="250" t="s">
        <v>233</v>
      </c>
      <c r="L32" s="251"/>
      <c r="M32" s="135"/>
      <c r="N32" s="135"/>
      <c r="O32" s="135"/>
      <c r="P32" s="135"/>
      <c r="Q32" s="135"/>
      <c r="R32" s="135"/>
      <c r="S32" s="135"/>
      <c r="T32" s="135"/>
      <c r="U32" s="135"/>
      <c r="V32" s="135"/>
      <c r="W32" s="135"/>
      <c r="X32" s="135"/>
      <c r="Y32" s="135"/>
      <c r="Z32" s="135"/>
      <c r="AA32" s="135"/>
      <c r="AB32" s="135"/>
      <c r="AC32" s="135"/>
      <c r="AD32" s="135"/>
      <c r="AE32" s="135"/>
      <c r="AF32" s="135"/>
      <c r="AG32" s="135"/>
      <c r="AH32" s="135"/>
      <c r="AI32" s="135"/>
      <c r="AJ32" s="135"/>
      <c r="AK32" s="135"/>
      <c r="AL32" s="135"/>
      <c r="AM32" s="135"/>
      <c r="AN32" s="135"/>
      <c r="AO32" s="135"/>
      <c r="AP32" s="135"/>
      <c r="AQ32" s="135"/>
      <c r="AR32" s="135"/>
      <c r="AS32" s="135"/>
      <c r="AT32" s="135"/>
      <c r="AU32" s="135"/>
      <c r="AV32" s="135"/>
      <c r="AW32" s="135"/>
      <c r="AX32" s="135"/>
      <c r="AY32" s="135"/>
      <c r="AZ32" s="135"/>
      <c r="BA32" s="135"/>
      <c r="BB32" s="135"/>
      <c r="BC32" s="135"/>
      <c r="BD32" s="135"/>
      <c r="BE32" s="135"/>
      <c r="BF32" s="135"/>
      <c r="BG32" s="135"/>
      <c r="BH32" s="135"/>
      <c r="BI32" s="135"/>
    </row>
    <row r="33" spans="1:61">
      <c r="A33" s="245"/>
      <c r="B33" s="248"/>
      <c r="C33" s="270"/>
      <c r="D33" s="271"/>
      <c r="E33" s="270"/>
      <c r="F33" s="271"/>
      <c r="G33" s="270"/>
      <c r="H33" s="271"/>
      <c r="I33" s="270"/>
      <c r="J33" s="271"/>
      <c r="K33" s="252"/>
      <c r="L33" s="253"/>
      <c r="M33" s="135"/>
      <c r="N33" s="135"/>
      <c r="O33" s="135"/>
      <c r="P33" s="135"/>
      <c r="Q33" s="135"/>
      <c r="R33" s="135"/>
      <c r="S33" s="135"/>
      <c r="T33" s="135"/>
      <c r="U33" s="135"/>
      <c r="V33" s="135"/>
      <c r="W33" s="135"/>
      <c r="X33" s="135"/>
      <c r="Y33" s="135"/>
      <c r="Z33" s="135"/>
      <c r="AA33" s="135"/>
      <c r="AB33" s="135"/>
      <c r="AC33" s="135"/>
      <c r="AD33" s="135"/>
      <c r="AE33" s="135"/>
      <c r="AF33" s="135"/>
      <c r="AG33" s="135"/>
      <c r="AH33" s="135"/>
      <c r="AI33" s="135"/>
      <c r="AJ33" s="135"/>
      <c r="AK33" s="135"/>
      <c r="AL33" s="135"/>
      <c r="AM33" s="135"/>
      <c r="AN33" s="135"/>
      <c r="AO33" s="135"/>
      <c r="AP33" s="135"/>
      <c r="AQ33" s="135"/>
      <c r="AR33" s="135"/>
      <c r="AS33" s="135"/>
      <c r="AT33" s="135"/>
      <c r="AU33" s="135"/>
      <c r="AV33" s="135"/>
      <c r="AW33" s="135"/>
      <c r="AX33" s="135"/>
      <c r="AY33" s="135"/>
      <c r="AZ33" s="135"/>
      <c r="BA33" s="135"/>
      <c r="BB33" s="135"/>
      <c r="BC33" s="135"/>
      <c r="BD33" s="135"/>
      <c r="BE33" s="135"/>
      <c r="BF33" s="135"/>
      <c r="BG33" s="135"/>
      <c r="BH33" s="135"/>
      <c r="BI33" s="135"/>
    </row>
    <row r="34" spans="1:61">
      <c r="A34" s="245"/>
      <c r="B34" s="248"/>
      <c r="C34" s="270"/>
      <c r="D34" s="271"/>
      <c r="E34" s="270"/>
      <c r="F34" s="271"/>
      <c r="G34" s="270"/>
      <c r="H34" s="271"/>
      <c r="I34" s="270"/>
      <c r="J34" s="271"/>
      <c r="K34" s="252"/>
      <c r="L34" s="253"/>
      <c r="M34" s="135"/>
      <c r="N34" s="135"/>
      <c r="O34" s="135"/>
      <c r="P34" s="135"/>
      <c r="Q34" s="135"/>
      <c r="R34" s="135"/>
      <c r="S34" s="135"/>
      <c r="T34" s="135"/>
      <c r="U34" s="135"/>
      <c r="V34" s="135"/>
      <c r="W34" s="135"/>
      <c r="X34" s="135"/>
      <c r="Y34" s="135"/>
      <c r="Z34" s="135"/>
      <c r="AA34" s="135"/>
      <c r="AB34" s="135"/>
      <c r="AC34" s="135"/>
      <c r="AD34" s="135"/>
      <c r="AE34" s="135"/>
      <c r="AF34" s="135"/>
      <c r="AG34" s="135"/>
      <c r="AH34" s="135"/>
      <c r="AI34" s="135"/>
      <c r="AJ34" s="135"/>
      <c r="AK34" s="135"/>
      <c r="AL34" s="135"/>
      <c r="AM34" s="135"/>
      <c r="AN34" s="135"/>
      <c r="AO34" s="135"/>
      <c r="AP34" s="135"/>
      <c r="AQ34" s="135"/>
      <c r="AR34" s="135"/>
      <c r="AS34" s="135"/>
      <c r="AT34" s="135"/>
      <c r="AU34" s="135"/>
      <c r="AV34" s="135"/>
      <c r="AW34" s="135"/>
      <c r="AX34" s="135"/>
      <c r="AY34" s="135"/>
      <c r="AZ34" s="135"/>
      <c r="BA34" s="135"/>
      <c r="BB34" s="135"/>
      <c r="BC34" s="135"/>
      <c r="BD34" s="135"/>
      <c r="BE34" s="135"/>
      <c r="BF34" s="135"/>
      <c r="BG34" s="135"/>
      <c r="BH34" s="135"/>
      <c r="BI34" s="135"/>
    </row>
    <row r="35" spans="1:61">
      <c r="A35" s="245"/>
      <c r="B35" s="248"/>
      <c r="C35" s="270"/>
      <c r="D35" s="271"/>
      <c r="E35" s="270"/>
      <c r="F35" s="271"/>
      <c r="G35" s="270"/>
      <c r="H35" s="271"/>
      <c r="I35" s="270"/>
      <c r="J35" s="271"/>
      <c r="K35" s="252"/>
      <c r="L35" s="253"/>
      <c r="M35" s="135"/>
      <c r="N35" s="135"/>
      <c r="O35" s="135"/>
      <c r="P35" s="135"/>
      <c r="Q35" s="135"/>
      <c r="R35" s="135"/>
      <c r="S35" s="135"/>
      <c r="T35" s="135"/>
      <c r="U35" s="135"/>
      <c r="V35" s="135"/>
      <c r="W35" s="135"/>
      <c r="X35" s="135"/>
      <c r="Y35" s="135"/>
      <c r="Z35" s="135"/>
      <c r="AA35" s="135"/>
      <c r="AB35" s="135"/>
      <c r="AC35" s="135"/>
      <c r="AD35" s="135"/>
      <c r="AE35" s="135"/>
      <c r="AF35" s="135"/>
      <c r="AG35" s="135"/>
      <c r="AH35" s="135"/>
      <c r="AI35" s="135"/>
      <c r="AJ35" s="135"/>
      <c r="AK35" s="135"/>
      <c r="AL35" s="135"/>
      <c r="AM35" s="135"/>
      <c r="AN35" s="135"/>
      <c r="AO35" s="135"/>
      <c r="AP35" s="135"/>
      <c r="AQ35" s="135"/>
      <c r="AR35" s="135"/>
      <c r="AS35" s="135"/>
      <c r="AT35" s="135"/>
      <c r="AU35" s="135"/>
      <c r="AV35" s="135"/>
      <c r="AW35" s="135"/>
      <c r="AX35" s="135"/>
      <c r="AY35" s="135"/>
      <c r="AZ35" s="135"/>
      <c r="BA35" s="135"/>
      <c r="BB35" s="135"/>
      <c r="BC35" s="135"/>
      <c r="BD35" s="135"/>
      <c r="BE35" s="135"/>
      <c r="BF35" s="135"/>
      <c r="BG35" s="135"/>
      <c r="BH35" s="135"/>
      <c r="BI35" s="135"/>
    </row>
    <row r="36" spans="1:61">
      <c r="A36" s="246"/>
      <c r="B36" s="249"/>
      <c r="C36" s="272"/>
      <c r="D36" s="273"/>
      <c r="E36" s="272"/>
      <c r="F36" s="273"/>
      <c r="G36" s="272"/>
      <c r="H36" s="273"/>
      <c r="I36" s="272"/>
      <c r="J36" s="273"/>
      <c r="K36" s="254"/>
      <c r="L36" s="255"/>
      <c r="M36" s="135"/>
      <c r="N36" s="135"/>
      <c r="O36" s="135"/>
      <c r="P36" s="135"/>
      <c r="Q36" s="135"/>
      <c r="R36" s="135"/>
      <c r="S36" s="135"/>
      <c r="T36" s="135"/>
      <c r="U36" s="135"/>
      <c r="V36" s="135"/>
      <c r="W36" s="135"/>
      <c r="X36" s="135"/>
      <c r="Y36" s="135"/>
      <c r="Z36" s="135"/>
      <c r="AA36" s="135"/>
      <c r="AB36" s="135"/>
      <c r="AC36" s="135"/>
      <c r="AD36" s="135"/>
      <c r="AE36" s="135"/>
      <c r="AF36" s="135"/>
      <c r="AG36" s="135"/>
      <c r="AH36" s="135"/>
      <c r="AI36" s="135"/>
      <c r="AJ36" s="135"/>
      <c r="AK36" s="135"/>
      <c r="AL36" s="135"/>
      <c r="AM36" s="135"/>
      <c r="AN36" s="135"/>
      <c r="AO36" s="135"/>
      <c r="AP36" s="135"/>
      <c r="AQ36" s="135"/>
      <c r="AR36" s="135"/>
      <c r="AS36" s="135"/>
      <c r="AT36" s="135"/>
      <c r="AU36" s="135"/>
      <c r="AV36" s="135"/>
      <c r="AW36" s="135"/>
      <c r="AX36" s="135"/>
      <c r="AY36" s="135"/>
      <c r="AZ36" s="135"/>
      <c r="BA36" s="135"/>
      <c r="BB36" s="135"/>
      <c r="BC36" s="135"/>
      <c r="BD36" s="135"/>
      <c r="BE36" s="135"/>
      <c r="BF36" s="135"/>
      <c r="BG36" s="135"/>
      <c r="BH36" s="135"/>
      <c r="BI36" s="135"/>
    </row>
    <row r="37" spans="1:61">
      <c r="A37" s="135"/>
      <c r="B37" s="135"/>
      <c r="C37" s="135"/>
      <c r="D37" s="135"/>
      <c r="E37" s="135"/>
      <c r="F37" s="135"/>
      <c r="G37" s="135"/>
      <c r="H37" s="135"/>
      <c r="I37" s="135"/>
      <c r="J37" s="135"/>
      <c r="K37" s="135"/>
      <c r="L37" s="135"/>
      <c r="M37" s="135"/>
      <c r="N37" s="135"/>
      <c r="O37" s="135"/>
      <c r="P37" s="135"/>
      <c r="Q37" s="135"/>
      <c r="R37" s="135"/>
      <c r="S37" s="135"/>
      <c r="T37" s="135"/>
      <c r="U37" s="135"/>
      <c r="V37" s="135"/>
      <c r="W37" s="135"/>
      <c r="X37" s="135"/>
      <c r="Y37" s="135"/>
      <c r="Z37" s="135"/>
      <c r="AA37" s="135"/>
      <c r="AB37" s="135"/>
      <c r="AC37" s="135"/>
      <c r="AD37" s="135"/>
      <c r="AE37" s="135"/>
      <c r="AF37" s="135"/>
      <c r="AG37" s="135"/>
      <c r="AH37" s="135"/>
      <c r="AI37" s="135"/>
      <c r="AJ37" s="135"/>
      <c r="AK37" s="135"/>
      <c r="AL37" s="135"/>
      <c r="AM37" s="135"/>
      <c r="AN37" s="135"/>
      <c r="AO37" s="135"/>
      <c r="AP37" s="135"/>
      <c r="AQ37" s="135"/>
      <c r="AR37" s="135"/>
      <c r="AS37" s="135"/>
      <c r="AT37" s="135"/>
      <c r="AU37" s="135"/>
      <c r="AV37" s="135"/>
      <c r="AW37" s="135"/>
      <c r="AX37" s="135"/>
      <c r="AY37" s="135"/>
      <c r="AZ37" s="135"/>
      <c r="BA37" s="135"/>
      <c r="BB37" s="135"/>
      <c r="BC37" s="135"/>
      <c r="BD37" s="135"/>
      <c r="BE37" s="135"/>
      <c r="BF37" s="135"/>
      <c r="BG37" s="135"/>
      <c r="BH37" s="135"/>
      <c r="BI37" s="135"/>
    </row>
    <row r="38" spans="1:61">
      <c r="A38" s="135"/>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c r="Z38" s="135"/>
      <c r="AA38" s="135"/>
      <c r="AB38" s="135"/>
      <c r="AC38" s="135"/>
      <c r="AD38" s="135"/>
      <c r="AE38" s="135"/>
      <c r="AF38" s="135"/>
      <c r="AG38" s="135"/>
      <c r="AH38" s="135"/>
      <c r="AI38" s="135"/>
      <c r="AJ38" s="135"/>
      <c r="AK38" s="135"/>
      <c r="AL38" s="135"/>
      <c r="AM38" s="135"/>
      <c r="AN38" s="135"/>
      <c r="AO38" s="135"/>
      <c r="AP38" s="135"/>
      <c r="AQ38" s="135"/>
      <c r="AR38" s="135"/>
      <c r="AS38" s="135"/>
      <c r="AT38" s="135"/>
      <c r="AU38" s="135"/>
      <c r="AV38" s="135"/>
      <c r="AW38" s="135"/>
      <c r="AX38" s="135"/>
      <c r="AY38" s="135"/>
      <c r="AZ38" s="135"/>
      <c r="BA38" s="135"/>
      <c r="BB38" s="135"/>
      <c r="BC38" s="135"/>
      <c r="BD38" s="135"/>
      <c r="BE38" s="135"/>
      <c r="BF38" s="135"/>
      <c r="BG38" s="135"/>
      <c r="BH38" s="135"/>
      <c r="BI38" s="135"/>
    </row>
    <row r="39" spans="1:61">
      <c r="A39" s="135"/>
      <c r="B39" s="135"/>
      <c r="C39" s="135"/>
      <c r="D39" s="135"/>
      <c r="E39" s="135"/>
      <c r="F39" s="135"/>
      <c r="G39" s="135"/>
      <c r="H39" s="135"/>
      <c r="I39" s="135"/>
      <c r="J39" s="135"/>
      <c r="K39" s="135"/>
      <c r="L39" s="135"/>
      <c r="M39" s="135"/>
      <c r="N39" s="135"/>
      <c r="O39" s="135"/>
      <c r="P39" s="135"/>
      <c r="Q39" s="135"/>
      <c r="R39" s="135"/>
      <c r="S39" s="135"/>
      <c r="T39" s="135"/>
      <c r="U39" s="135"/>
      <c r="V39" s="135"/>
      <c r="W39" s="135"/>
      <c r="X39" s="135"/>
      <c r="Y39" s="135"/>
      <c r="Z39" s="135"/>
      <c r="AA39" s="135"/>
      <c r="AB39" s="135"/>
      <c r="AC39" s="135"/>
      <c r="AD39" s="135"/>
      <c r="AE39" s="135"/>
      <c r="AF39" s="135"/>
      <c r="AG39" s="135"/>
      <c r="AH39" s="135"/>
      <c r="AI39" s="135"/>
      <c r="AJ39" s="135"/>
      <c r="AK39" s="135"/>
      <c r="AL39" s="135"/>
      <c r="AM39" s="135"/>
      <c r="AN39" s="135"/>
      <c r="AO39" s="135"/>
      <c r="AP39" s="135"/>
      <c r="AQ39" s="135"/>
      <c r="AR39" s="135"/>
      <c r="AS39" s="135"/>
      <c r="AT39" s="135"/>
      <c r="AU39" s="135"/>
      <c r="AV39" s="135"/>
      <c r="AW39" s="135"/>
      <c r="AX39" s="135"/>
      <c r="AY39" s="135"/>
      <c r="AZ39" s="135"/>
      <c r="BA39" s="135"/>
      <c r="BB39" s="135"/>
      <c r="BC39" s="135"/>
      <c r="BD39" s="135"/>
      <c r="BE39" s="135"/>
      <c r="BF39" s="135"/>
      <c r="BG39" s="135"/>
      <c r="BH39" s="135"/>
      <c r="BI39" s="135"/>
    </row>
    <row r="40" spans="1:61">
      <c r="A40" s="135"/>
      <c r="B40" s="135"/>
      <c r="C40" s="135"/>
      <c r="D40" s="135"/>
      <c r="E40" s="135"/>
      <c r="F40" s="135"/>
      <c r="G40" s="135"/>
      <c r="H40" s="135"/>
      <c r="I40" s="135"/>
      <c r="J40" s="135"/>
      <c r="K40" s="135"/>
      <c r="L40" s="135"/>
      <c r="M40" s="135"/>
      <c r="N40" s="135"/>
      <c r="O40" s="135"/>
      <c r="P40" s="135"/>
      <c r="Q40" s="135"/>
      <c r="R40" s="135"/>
      <c r="S40" s="135"/>
      <c r="T40" s="135"/>
      <c r="U40" s="135"/>
      <c r="V40" s="135"/>
      <c r="W40" s="135"/>
      <c r="X40" s="135"/>
      <c r="Y40" s="135"/>
      <c r="Z40" s="135"/>
      <c r="AA40" s="135"/>
      <c r="AB40" s="135"/>
      <c r="AC40" s="135"/>
      <c r="AD40" s="135"/>
      <c r="AE40" s="135"/>
      <c r="AF40" s="135"/>
      <c r="AG40" s="135"/>
      <c r="AH40" s="135"/>
      <c r="AI40" s="135"/>
      <c r="AJ40" s="135"/>
      <c r="AK40" s="135"/>
      <c r="AL40" s="135"/>
      <c r="AM40" s="135"/>
      <c r="AN40" s="135"/>
      <c r="AO40" s="135"/>
      <c r="AP40" s="135"/>
      <c r="AQ40" s="135"/>
      <c r="AR40" s="135"/>
      <c r="AS40" s="135"/>
      <c r="AT40" s="135"/>
      <c r="AU40" s="135"/>
      <c r="AV40" s="135"/>
      <c r="AW40" s="135"/>
      <c r="AX40" s="135"/>
      <c r="AY40" s="135"/>
      <c r="AZ40" s="135"/>
      <c r="BA40" s="135"/>
      <c r="BB40" s="135"/>
      <c r="BC40" s="135"/>
      <c r="BD40" s="135"/>
      <c r="BE40" s="135"/>
      <c r="BF40" s="135"/>
      <c r="BG40" s="135"/>
      <c r="BH40" s="135"/>
      <c r="BI40" s="135"/>
    </row>
    <row r="41" spans="1:61">
      <c r="A41" s="135"/>
      <c r="B41" s="135"/>
      <c r="C41" s="135"/>
      <c r="D41" s="135"/>
      <c r="E41" s="135"/>
      <c r="F41" s="135"/>
      <c r="G41" s="135"/>
      <c r="H41" s="135"/>
      <c r="I41" s="135"/>
      <c r="J41" s="135"/>
      <c r="K41" s="135"/>
      <c r="L41" s="135"/>
      <c r="M41" s="135"/>
      <c r="N41" s="135"/>
      <c r="O41" s="135"/>
      <c r="P41" s="135"/>
      <c r="Q41" s="135"/>
      <c r="R41" s="135"/>
      <c r="S41" s="135"/>
      <c r="T41" s="135"/>
      <c r="U41" s="135"/>
      <c r="V41" s="135"/>
      <c r="W41" s="135"/>
      <c r="X41" s="135"/>
      <c r="Y41" s="135"/>
      <c r="Z41" s="135"/>
      <c r="AA41" s="135"/>
      <c r="AB41" s="135"/>
      <c r="AC41" s="135"/>
      <c r="AD41" s="135"/>
      <c r="AE41" s="135"/>
      <c r="AF41" s="135"/>
      <c r="AG41" s="135"/>
      <c r="AH41" s="135"/>
      <c r="AI41" s="135"/>
      <c r="AJ41" s="135"/>
      <c r="AK41" s="135"/>
      <c r="AL41" s="135"/>
      <c r="AM41" s="135"/>
      <c r="AN41" s="135"/>
      <c r="AO41" s="135"/>
      <c r="AP41" s="135"/>
      <c r="AQ41" s="135"/>
      <c r="AR41" s="135"/>
      <c r="AS41" s="135"/>
      <c r="AT41" s="135"/>
      <c r="AU41" s="135"/>
      <c r="AV41" s="135"/>
      <c r="AW41" s="135"/>
      <c r="AX41" s="135"/>
      <c r="AY41" s="135"/>
      <c r="AZ41" s="135"/>
      <c r="BA41" s="135"/>
      <c r="BB41" s="135"/>
      <c r="BC41" s="135"/>
      <c r="BD41" s="135"/>
      <c r="BE41" s="135"/>
      <c r="BF41" s="135"/>
      <c r="BG41" s="135"/>
      <c r="BH41" s="135"/>
      <c r="BI41" s="135"/>
    </row>
    <row r="42" spans="1:61">
      <c r="A42" s="135"/>
      <c r="B42" s="135"/>
      <c r="C42" s="135"/>
      <c r="D42" s="135"/>
      <c r="E42" s="135"/>
      <c r="F42" s="135"/>
      <c r="G42" s="135"/>
      <c r="H42" s="135"/>
      <c r="I42" s="135"/>
      <c r="J42" s="135"/>
      <c r="K42" s="135"/>
      <c r="L42" s="135"/>
      <c r="M42" s="135"/>
      <c r="N42" s="135"/>
      <c r="O42" s="135"/>
      <c r="P42" s="135"/>
      <c r="Q42" s="135"/>
      <c r="R42" s="135"/>
      <c r="S42" s="135"/>
      <c r="T42" s="135"/>
      <c r="U42" s="135"/>
      <c r="V42" s="135"/>
      <c r="W42" s="135"/>
      <c r="X42" s="135"/>
      <c r="Y42" s="135"/>
      <c r="Z42" s="135"/>
      <c r="AA42" s="135"/>
      <c r="AB42" s="135"/>
      <c r="AC42" s="135"/>
      <c r="AD42" s="135"/>
      <c r="AE42" s="135"/>
      <c r="AF42" s="135"/>
      <c r="AG42" s="135"/>
      <c r="AH42" s="135"/>
      <c r="AI42" s="135"/>
      <c r="AJ42" s="135"/>
      <c r="AK42" s="135"/>
      <c r="AL42" s="135"/>
      <c r="AM42" s="135"/>
      <c r="AN42" s="135"/>
      <c r="AO42" s="135"/>
      <c r="AP42" s="135"/>
      <c r="AQ42" s="135"/>
      <c r="AR42" s="135"/>
      <c r="AS42" s="135"/>
      <c r="AT42" s="135"/>
      <c r="AU42" s="135"/>
      <c r="AV42" s="135"/>
      <c r="AW42" s="135"/>
      <c r="AX42" s="135"/>
      <c r="AY42" s="135"/>
      <c r="AZ42" s="135"/>
      <c r="BA42" s="135"/>
      <c r="BB42" s="135"/>
      <c r="BC42" s="135"/>
      <c r="BD42" s="135"/>
      <c r="BE42" s="135"/>
      <c r="BF42" s="135"/>
      <c r="BG42" s="135"/>
      <c r="BH42" s="135"/>
      <c r="BI42" s="135"/>
    </row>
    <row r="43" spans="1:61">
      <c r="A43" s="135"/>
      <c r="B43" s="135"/>
      <c r="C43" s="135"/>
      <c r="D43" s="135"/>
      <c r="E43" s="135"/>
      <c r="F43" s="135"/>
      <c r="G43" s="135"/>
      <c r="H43" s="135"/>
      <c r="I43" s="135"/>
      <c r="J43" s="135"/>
      <c r="K43" s="135"/>
      <c r="L43" s="135"/>
      <c r="M43" s="135"/>
      <c r="N43" s="135"/>
      <c r="O43" s="135"/>
      <c r="P43" s="135"/>
      <c r="Q43" s="135"/>
      <c r="R43" s="135"/>
      <c r="S43" s="135"/>
      <c r="T43" s="135"/>
      <c r="U43" s="135"/>
      <c r="V43" s="135"/>
      <c r="W43" s="135"/>
      <c r="X43" s="135"/>
      <c r="Y43" s="135"/>
      <c r="Z43" s="135"/>
      <c r="AA43" s="135"/>
      <c r="AB43" s="135"/>
      <c r="AC43" s="135"/>
      <c r="AD43" s="135"/>
      <c r="AE43" s="135"/>
      <c r="AF43" s="135"/>
      <c r="AG43" s="135"/>
      <c r="AH43" s="135"/>
      <c r="AI43" s="135"/>
      <c r="AJ43" s="135"/>
      <c r="AK43" s="135"/>
      <c r="AL43" s="135"/>
      <c r="AM43" s="135"/>
      <c r="AN43" s="135"/>
      <c r="AO43" s="135"/>
      <c r="AP43" s="135"/>
      <c r="AQ43" s="135"/>
      <c r="AR43" s="135"/>
      <c r="AS43" s="135"/>
      <c r="AT43" s="135"/>
      <c r="AU43" s="135"/>
      <c r="AV43" s="135"/>
      <c r="AW43" s="135"/>
      <c r="AX43" s="135"/>
      <c r="AY43" s="135"/>
      <c r="AZ43" s="135"/>
      <c r="BA43" s="135"/>
      <c r="BB43" s="135"/>
      <c r="BC43" s="135"/>
      <c r="BD43" s="135"/>
      <c r="BE43" s="135"/>
      <c r="BF43" s="135"/>
      <c r="BG43" s="135"/>
      <c r="BH43" s="135"/>
      <c r="BI43" s="135"/>
    </row>
    <row r="44" spans="1:61">
      <c r="A44" s="135"/>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c r="Z44" s="135"/>
      <c r="AA44" s="135"/>
      <c r="AB44" s="135"/>
      <c r="AC44" s="135"/>
      <c r="AD44" s="135"/>
      <c r="AE44" s="135"/>
      <c r="AF44" s="135"/>
      <c r="AG44" s="135"/>
      <c r="AH44" s="135"/>
      <c r="AI44" s="135"/>
      <c r="AJ44" s="135"/>
      <c r="AK44" s="135"/>
      <c r="AL44" s="135"/>
      <c r="AM44" s="135"/>
      <c r="AN44" s="135"/>
      <c r="AO44" s="135"/>
      <c r="AP44" s="135"/>
      <c r="AQ44" s="135"/>
      <c r="AR44" s="135"/>
      <c r="AS44" s="135"/>
      <c r="AT44" s="135"/>
      <c r="AU44" s="135"/>
      <c r="AV44" s="135"/>
      <c r="AW44" s="135"/>
      <c r="AX44" s="135"/>
      <c r="AY44" s="135"/>
      <c r="AZ44" s="135"/>
      <c r="BA44" s="135"/>
      <c r="BB44" s="135"/>
      <c r="BC44" s="135"/>
      <c r="BD44" s="135"/>
      <c r="BE44" s="135"/>
      <c r="BF44" s="135"/>
      <c r="BG44" s="135"/>
      <c r="BH44" s="135"/>
      <c r="BI44" s="135"/>
    </row>
    <row r="45" spans="1:61">
      <c r="A45" s="135"/>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c r="Z45" s="135"/>
      <c r="AA45" s="135"/>
      <c r="AB45" s="135"/>
      <c r="AC45" s="135"/>
      <c r="AD45" s="135"/>
      <c r="AE45" s="135"/>
      <c r="AF45" s="135"/>
      <c r="AG45" s="135"/>
      <c r="AH45" s="135"/>
      <c r="AI45" s="135"/>
      <c r="AJ45" s="135"/>
      <c r="AK45" s="135"/>
      <c r="AL45" s="135"/>
      <c r="AM45" s="135"/>
      <c r="AN45" s="135"/>
      <c r="AO45" s="135"/>
      <c r="AP45" s="135"/>
      <c r="AQ45" s="135"/>
      <c r="AR45" s="135"/>
      <c r="AS45" s="135"/>
      <c r="AT45" s="135"/>
      <c r="AU45" s="135"/>
      <c r="AV45" s="135"/>
      <c r="AW45" s="135"/>
      <c r="AX45" s="135"/>
      <c r="AY45" s="135"/>
      <c r="AZ45" s="135"/>
      <c r="BA45" s="135"/>
      <c r="BB45" s="135"/>
      <c r="BC45" s="135"/>
      <c r="BD45" s="135"/>
      <c r="BE45" s="135"/>
      <c r="BF45" s="135"/>
      <c r="BG45" s="135"/>
      <c r="BH45" s="135"/>
      <c r="BI45" s="135"/>
    </row>
    <row r="46" spans="1:61">
      <c r="A46" s="135"/>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c r="Z46" s="135"/>
      <c r="AA46" s="135"/>
      <c r="AB46" s="135"/>
      <c r="AC46" s="135"/>
      <c r="AD46" s="135"/>
      <c r="AE46" s="135"/>
      <c r="AF46" s="135"/>
      <c r="AG46" s="135"/>
      <c r="AH46" s="135"/>
      <c r="AI46" s="135"/>
      <c r="AJ46" s="135"/>
      <c r="AK46" s="135"/>
      <c r="AL46" s="135"/>
      <c r="AM46" s="135"/>
      <c r="AN46" s="135"/>
      <c r="AO46" s="135"/>
      <c r="AP46" s="135"/>
      <c r="AQ46" s="135"/>
      <c r="AR46" s="135"/>
      <c r="AS46" s="135"/>
      <c r="AT46" s="135"/>
      <c r="AU46" s="135"/>
      <c r="AV46" s="135"/>
      <c r="AW46" s="135"/>
      <c r="AX46" s="135"/>
      <c r="AY46" s="135"/>
      <c r="AZ46" s="135"/>
      <c r="BA46" s="135"/>
      <c r="BB46" s="135"/>
      <c r="BC46" s="135"/>
      <c r="BD46" s="135"/>
      <c r="BE46" s="135"/>
      <c r="BF46" s="135"/>
      <c r="BG46" s="135"/>
      <c r="BH46" s="135"/>
      <c r="BI46" s="135"/>
    </row>
    <row r="47" spans="1:61">
      <c r="A47" s="135"/>
      <c r="B47" s="135"/>
      <c r="C47" s="135"/>
      <c r="D47" s="135"/>
      <c r="E47" s="135"/>
      <c r="F47" s="135"/>
      <c r="G47" s="135"/>
      <c r="H47" s="135"/>
      <c r="I47" s="135"/>
      <c r="J47" s="135"/>
      <c r="K47" s="135"/>
      <c r="L47" s="135"/>
      <c r="M47" s="135"/>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35"/>
      <c r="AK47" s="135"/>
      <c r="AL47" s="135"/>
      <c r="AM47" s="135"/>
      <c r="AN47" s="135"/>
      <c r="AO47" s="135"/>
      <c r="AP47" s="135"/>
      <c r="AQ47" s="135"/>
      <c r="AR47" s="135"/>
      <c r="AS47" s="135"/>
      <c r="AT47" s="135"/>
      <c r="AU47" s="135"/>
      <c r="AV47" s="135"/>
      <c r="AW47" s="135"/>
      <c r="AX47" s="135"/>
      <c r="AY47" s="135"/>
      <c r="AZ47" s="135"/>
      <c r="BA47" s="135"/>
      <c r="BB47" s="135"/>
      <c r="BC47" s="135"/>
      <c r="BD47" s="135"/>
      <c r="BE47" s="135"/>
      <c r="BF47" s="135"/>
      <c r="BG47" s="135"/>
      <c r="BH47" s="135"/>
      <c r="BI47" s="135"/>
    </row>
    <row r="48" spans="1:61">
      <c r="A48" s="135"/>
      <c r="B48" s="135"/>
      <c r="C48" s="135"/>
      <c r="D48" s="135"/>
      <c r="E48" s="135"/>
      <c r="F48" s="135"/>
      <c r="G48" s="135"/>
      <c r="H48" s="135"/>
      <c r="I48" s="135"/>
      <c r="J48" s="135"/>
      <c r="K48" s="135"/>
      <c r="L48" s="135"/>
      <c r="M48" s="135"/>
      <c r="N48" s="135"/>
      <c r="O48" s="135"/>
      <c r="P48" s="135"/>
      <c r="Q48" s="135"/>
      <c r="R48" s="135"/>
      <c r="S48" s="135"/>
      <c r="T48" s="135"/>
      <c r="U48" s="135"/>
      <c r="V48" s="135"/>
      <c r="W48" s="135"/>
      <c r="X48" s="135"/>
      <c r="Y48" s="135"/>
      <c r="Z48" s="135"/>
      <c r="AA48" s="135"/>
      <c r="AB48" s="135"/>
      <c r="AC48" s="135"/>
      <c r="AD48" s="135"/>
      <c r="AE48" s="135"/>
      <c r="AF48" s="135"/>
      <c r="AG48" s="135"/>
      <c r="AH48" s="135"/>
      <c r="AI48" s="135"/>
      <c r="AJ48" s="135"/>
      <c r="AK48" s="135"/>
      <c r="AL48" s="135"/>
      <c r="AM48" s="135"/>
      <c r="AN48" s="135"/>
      <c r="AO48" s="135"/>
      <c r="AP48" s="135"/>
      <c r="AQ48" s="135"/>
      <c r="AR48" s="135"/>
      <c r="AS48" s="135"/>
      <c r="AT48" s="135"/>
      <c r="AU48" s="135"/>
      <c r="AV48" s="135"/>
      <c r="AW48" s="135"/>
      <c r="AX48" s="135"/>
      <c r="AY48" s="135"/>
      <c r="AZ48" s="135"/>
      <c r="BA48" s="135"/>
      <c r="BB48" s="135"/>
      <c r="BC48" s="135"/>
      <c r="BD48" s="135"/>
      <c r="BE48" s="135"/>
      <c r="BF48" s="135"/>
      <c r="BG48" s="135"/>
      <c r="BH48" s="135"/>
      <c r="BI48" s="135"/>
    </row>
    <row r="49" spans="1:61">
      <c r="A49" s="135"/>
      <c r="B49" s="135"/>
      <c r="C49" s="135"/>
      <c r="D49" s="135"/>
      <c r="E49" s="135"/>
      <c r="F49" s="135"/>
      <c r="G49" s="135"/>
      <c r="H49" s="135"/>
      <c r="I49" s="135"/>
      <c r="J49" s="135"/>
      <c r="K49" s="135"/>
      <c r="L49" s="135"/>
      <c r="M49" s="135"/>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35"/>
      <c r="AK49" s="135"/>
      <c r="AL49" s="135"/>
      <c r="AM49" s="135"/>
      <c r="AN49" s="135"/>
      <c r="AO49" s="135"/>
      <c r="AP49" s="135"/>
      <c r="AQ49" s="135"/>
      <c r="AR49" s="135"/>
      <c r="AS49" s="135"/>
      <c r="AT49" s="135"/>
      <c r="AU49" s="135"/>
      <c r="AV49" s="135"/>
      <c r="AW49" s="135"/>
      <c r="AX49" s="135"/>
      <c r="AY49" s="135"/>
      <c r="AZ49" s="135"/>
      <c r="BA49" s="135"/>
      <c r="BB49" s="135"/>
      <c r="BC49" s="135"/>
      <c r="BD49" s="135"/>
      <c r="BE49" s="135"/>
      <c r="BF49" s="135"/>
      <c r="BG49" s="135"/>
      <c r="BH49" s="135"/>
      <c r="BI49" s="135"/>
    </row>
    <row r="50" spans="1:61">
      <c r="A50" s="135"/>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c r="Z50" s="135"/>
      <c r="AA50" s="135"/>
      <c r="AB50" s="135"/>
      <c r="AC50" s="135"/>
      <c r="AD50" s="135"/>
      <c r="AE50" s="135"/>
      <c r="AF50" s="135"/>
      <c r="AG50" s="135"/>
      <c r="AH50" s="135"/>
      <c r="AI50" s="135"/>
      <c r="AJ50" s="135"/>
      <c r="AK50" s="135"/>
      <c r="AL50" s="135"/>
      <c r="AM50" s="135"/>
      <c r="AN50" s="135"/>
      <c r="AO50" s="135"/>
      <c r="AP50" s="135"/>
      <c r="AQ50" s="135"/>
      <c r="AR50" s="135"/>
      <c r="AS50" s="135"/>
      <c r="AT50" s="135"/>
      <c r="AU50" s="135"/>
      <c r="AV50" s="135"/>
      <c r="AW50" s="135"/>
      <c r="AX50" s="135"/>
      <c r="AY50" s="135"/>
      <c r="AZ50" s="135"/>
      <c r="BA50" s="135"/>
      <c r="BB50" s="135"/>
      <c r="BC50" s="135"/>
      <c r="BD50" s="135"/>
      <c r="BE50" s="135"/>
      <c r="BF50" s="135"/>
      <c r="BG50" s="135"/>
      <c r="BH50" s="135"/>
      <c r="BI50" s="135"/>
    </row>
    <row r="51" spans="1:61">
      <c r="A51" s="135"/>
      <c r="B51" s="135"/>
      <c r="C51" s="135"/>
      <c r="D51" s="135"/>
      <c r="E51" s="135"/>
      <c r="F51" s="135"/>
      <c r="G51" s="135"/>
      <c r="H51" s="135"/>
      <c r="I51" s="135"/>
      <c r="J51" s="135"/>
      <c r="K51" s="135"/>
      <c r="L51" s="135"/>
      <c r="M51" s="135"/>
      <c r="N51" s="135"/>
      <c r="O51" s="135"/>
      <c r="P51" s="135"/>
      <c r="Q51" s="135"/>
      <c r="R51" s="135"/>
      <c r="S51" s="135"/>
      <c r="T51" s="135"/>
      <c r="U51" s="135"/>
      <c r="V51" s="135"/>
      <c r="W51" s="135"/>
      <c r="X51" s="135"/>
      <c r="Y51" s="135"/>
      <c r="Z51" s="135"/>
      <c r="AA51" s="135"/>
      <c r="AB51" s="135"/>
      <c r="AC51" s="135"/>
      <c r="AD51" s="135"/>
      <c r="AE51" s="135"/>
      <c r="AF51" s="135"/>
      <c r="AG51" s="135"/>
      <c r="AH51" s="135"/>
      <c r="AI51" s="135"/>
      <c r="AJ51" s="135"/>
      <c r="AK51" s="135"/>
      <c r="AL51" s="135"/>
      <c r="AM51" s="135"/>
      <c r="AN51" s="135"/>
      <c r="AO51" s="135"/>
      <c r="AP51" s="135"/>
      <c r="AQ51" s="135"/>
      <c r="AR51" s="135"/>
      <c r="AS51" s="135"/>
      <c r="AT51" s="135"/>
      <c r="AU51" s="135"/>
      <c r="AV51" s="135"/>
      <c r="AW51" s="135"/>
      <c r="AX51" s="135"/>
      <c r="AY51" s="135"/>
      <c r="AZ51" s="135"/>
      <c r="BA51" s="135"/>
      <c r="BB51" s="135"/>
      <c r="BC51" s="135"/>
      <c r="BD51" s="135"/>
      <c r="BE51" s="135"/>
      <c r="BF51" s="135"/>
      <c r="BG51" s="135"/>
      <c r="BH51" s="135"/>
      <c r="BI51" s="135"/>
    </row>
    <row r="52" spans="1:61">
      <c r="A52" s="135"/>
      <c r="B52" s="135"/>
      <c r="C52" s="135"/>
      <c r="D52" s="135"/>
      <c r="E52" s="135"/>
      <c r="F52" s="135"/>
      <c r="G52" s="135"/>
      <c r="H52" s="135"/>
      <c r="I52" s="135"/>
      <c r="J52" s="135"/>
      <c r="K52" s="135"/>
      <c r="L52" s="135"/>
      <c r="M52" s="135"/>
      <c r="N52" s="135"/>
      <c r="O52" s="135"/>
      <c r="P52" s="135"/>
      <c r="Q52" s="135"/>
      <c r="R52" s="135"/>
      <c r="S52" s="135"/>
      <c r="T52" s="135"/>
      <c r="U52" s="135"/>
      <c r="V52" s="135"/>
      <c r="W52" s="135"/>
      <c r="X52" s="135"/>
      <c r="Y52" s="135"/>
      <c r="Z52" s="135"/>
      <c r="AA52" s="135"/>
      <c r="AB52" s="135"/>
      <c r="AC52" s="135"/>
      <c r="AD52" s="135"/>
      <c r="AE52" s="135"/>
      <c r="AF52" s="135"/>
      <c r="AG52" s="135"/>
      <c r="AH52" s="135"/>
      <c r="AI52" s="135"/>
      <c r="AJ52" s="135"/>
      <c r="AK52" s="135"/>
      <c r="AL52" s="135"/>
      <c r="AM52" s="135"/>
      <c r="AN52" s="135"/>
      <c r="AO52" s="135"/>
      <c r="AP52" s="135"/>
      <c r="AQ52" s="135"/>
      <c r="AR52" s="135"/>
      <c r="AS52" s="135"/>
      <c r="AT52" s="135"/>
      <c r="AU52" s="135"/>
      <c r="AV52" s="135"/>
      <c r="AW52" s="135"/>
      <c r="AX52" s="135"/>
      <c r="AY52" s="135"/>
      <c r="AZ52" s="135"/>
      <c r="BA52" s="135"/>
      <c r="BB52" s="135"/>
      <c r="BC52" s="135"/>
      <c r="BD52" s="135"/>
      <c r="BE52" s="135"/>
      <c r="BF52" s="135"/>
      <c r="BG52" s="135"/>
      <c r="BH52" s="135"/>
      <c r="BI52" s="135"/>
    </row>
    <row r="53" spans="1:61">
      <c r="A53" s="135"/>
      <c r="B53" s="135"/>
      <c r="C53" s="135"/>
      <c r="D53" s="135"/>
      <c r="E53" s="135"/>
      <c r="F53" s="135"/>
      <c r="G53" s="135"/>
      <c r="H53" s="135"/>
      <c r="I53" s="135"/>
      <c r="J53" s="135"/>
      <c r="K53" s="135"/>
      <c r="L53" s="135"/>
      <c r="M53" s="135"/>
      <c r="N53" s="135"/>
      <c r="O53" s="135"/>
      <c r="P53" s="135"/>
      <c r="Q53" s="135"/>
      <c r="R53" s="135"/>
      <c r="S53" s="135"/>
      <c r="T53" s="135"/>
      <c r="U53" s="135"/>
      <c r="V53" s="135"/>
      <c r="W53" s="135"/>
      <c r="X53" s="135"/>
      <c r="Y53" s="135"/>
      <c r="Z53" s="135"/>
      <c r="AA53" s="135"/>
      <c r="AB53" s="135"/>
      <c r="AC53" s="135"/>
      <c r="AD53" s="135"/>
      <c r="AE53" s="135"/>
      <c r="AF53" s="135"/>
      <c r="AG53" s="135"/>
      <c r="AH53" s="135"/>
      <c r="AI53" s="135"/>
      <c r="AJ53" s="135"/>
      <c r="AK53" s="135"/>
      <c r="AL53" s="135"/>
      <c r="AM53" s="135"/>
      <c r="AN53" s="135"/>
      <c r="AO53" s="135"/>
      <c r="AP53" s="135"/>
      <c r="AQ53" s="135"/>
      <c r="AR53" s="135"/>
      <c r="AS53" s="135"/>
      <c r="AT53" s="135"/>
      <c r="AU53" s="135"/>
      <c r="AV53" s="135"/>
      <c r="AW53" s="135"/>
      <c r="AX53" s="135"/>
      <c r="AY53" s="135"/>
      <c r="AZ53" s="135"/>
      <c r="BA53" s="135"/>
      <c r="BB53" s="135"/>
      <c r="BC53" s="135"/>
      <c r="BD53" s="135"/>
      <c r="BE53" s="135"/>
      <c r="BF53" s="135"/>
      <c r="BG53" s="135"/>
      <c r="BH53" s="135"/>
      <c r="BI53" s="135"/>
    </row>
    <row r="54" spans="1:61">
      <c r="A54" s="135"/>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c r="Z54" s="135"/>
      <c r="AA54" s="135"/>
      <c r="AB54" s="135"/>
      <c r="AC54" s="135"/>
      <c r="AD54" s="135"/>
      <c r="AE54" s="135"/>
      <c r="AF54" s="135"/>
      <c r="AG54" s="135"/>
      <c r="AH54" s="135"/>
      <c r="AI54" s="135"/>
      <c r="AJ54" s="135"/>
      <c r="AK54" s="135"/>
      <c r="AL54" s="135"/>
      <c r="AM54" s="135"/>
      <c r="AN54" s="135"/>
      <c r="AO54" s="135"/>
      <c r="AP54" s="135"/>
      <c r="AQ54" s="135"/>
      <c r="AR54" s="135"/>
      <c r="AS54" s="135"/>
      <c r="AT54" s="135"/>
      <c r="AU54" s="135"/>
      <c r="AV54" s="135"/>
      <c r="AW54" s="135"/>
      <c r="AX54" s="135"/>
      <c r="AY54" s="135"/>
      <c r="AZ54" s="135"/>
      <c r="BA54" s="135"/>
      <c r="BB54" s="135"/>
      <c r="BC54" s="135"/>
      <c r="BD54" s="135"/>
      <c r="BE54" s="135"/>
      <c r="BF54" s="135"/>
      <c r="BG54" s="135"/>
      <c r="BH54" s="135"/>
      <c r="BI54" s="135"/>
    </row>
    <row r="55" spans="1:61">
      <c r="A55" s="135"/>
      <c r="B55" s="135"/>
      <c r="C55" s="135"/>
      <c r="D55" s="135"/>
      <c r="E55" s="135"/>
      <c r="F55" s="135"/>
      <c r="G55" s="135"/>
      <c r="H55" s="135"/>
      <c r="I55" s="135"/>
      <c r="J55" s="135"/>
      <c r="K55" s="135"/>
      <c r="L55" s="135"/>
      <c r="M55" s="135"/>
      <c r="N55" s="135"/>
      <c r="O55" s="135"/>
      <c r="P55" s="135"/>
      <c r="Q55" s="135"/>
      <c r="R55" s="135"/>
      <c r="S55" s="135"/>
      <c r="T55" s="135"/>
      <c r="U55" s="135"/>
      <c r="V55" s="135"/>
      <c r="W55" s="135"/>
      <c r="X55" s="135"/>
      <c r="Y55" s="135"/>
      <c r="Z55" s="135"/>
      <c r="AA55" s="135"/>
      <c r="AB55" s="135"/>
      <c r="AC55" s="135"/>
      <c r="AD55" s="135"/>
      <c r="AE55" s="135"/>
      <c r="AF55" s="135"/>
      <c r="AG55" s="135"/>
      <c r="AH55" s="135"/>
      <c r="AI55" s="135"/>
      <c r="AJ55" s="135"/>
      <c r="AK55" s="135"/>
      <c r="AL55" s="135"/>
      <c r="AM55" s="135"/>
      <c r="AN55" s="135"/>
      <c r="AO55" s="135"/>
      <c r="AP55" s="135"/>
      <c r="AQ55" s="135"/>
      <c r="AR55" s="135"/>
      <c r="AS55" s="135"/>
      <c r="AT55" s="135"/>
      <c r="AU55" s="135"/>
      <c r="AV55" s="135"/>
      <c r="AW55" s="135"/>
      <c r="AX55" s="135"/>
      <c r="AY55" s="135"/>
      <c r="AZ55" s="135"/>
      <c r="BA55" s="135"/>
      <c r="BB55" s="135"/>
      <c r="BC55" s="135"/>
      <c r="BD55" s="135"/>
      <c r="BE55" s="135"/>
      <c r="BF55" s="135"/>
      <c r="BG55" s="135"/>
      <c r="BH55" s="135"/>
      <c r="BI55" s="135"/>
    </row>
    <row r="56" spans="1:61">
      <c r="A56" s="135"/>
      <c r="B56" s="135"/>
      <c r="C56" s="135"/>
      <c r="D56" s="135"/>
      <c r="E56" s="135"/>
      <c r="F56" s="135"/>
      <c r="G56" s="135"/>
      <c r="H56" s="135"/>
      <c r="I56" s="135"/>
      <c r="J56" s="135"/>
      <c r="K56" s="135"/>
      <c r="L56" s="135"/>
      <c r="M56" s="135"/>
      <c r="N56" s="135"/>
      <c r="O56" s="135"/>
      <c r="P56" s="135"/>
      <c r="Q56" s="135"/>
      <c r="R56" s="135"/>
      <c r="S56" s="135"/>
      <c r="T56" s="135"/>
      <c r="U56" s="135"/>
      <c r="V56" s="135"/>
      <c r="W56" s="135"/>
      <c r="X56" s="135"/>
      <c r="Y56" s="135"/>
      <c r="Z56" s="135"/>
      <c r="AA56" s="135"/>
      <c r="AB56" s="135"/>
      <c r="AC56" s="135"/>
      <c r="AD56" s="135"/>
      <c r="AE56" s="135"/>
      <c r="AF56" s="135"/>
      <c r="AG56" s="135"/>
      <c r="AH56" s="135"/>
      <c r="AI56" s="135"/>
      <c r="AJ56" s="135"/>
      <c r="AK56" s="135"/>
      <c r="AL56" s="135"/>
      <c r="AM56" s="135"/>
      <c r="AN56" s="135"/>
      <c r="AO56" s="135"/>
      <c r="AP56" s="135"/>
      <c r="AQ56" s="135"/>
      <c r="AR56" s="135"/>
      <c r="AS56" s="135"/>
      <c r="AT56" s="135"/>
      <c r="AU56" s="135"/>
      <c r="AV56" s="135"/>
      <c r="AW56" s="135"/>
      <c r="AX56" s="135"/>
      <c r="AY56" s="135"/>
      <c r="AZ56" s="135"/>
      <c r="BA56" s="135"/>
      <c r="BB56" s="135"/>
      <c r="BC56" s="135"/>
      <c r="BD56" s="135"/>
      <c r="BE56" s="135"/>
      <c r="BF56" s="135"/>
      <c r="BG56" s="135"/>
      <c r="BH56" s="135"/>
      <c r="BI56" s="135"/>
    </row>
    <row r="57" spans="1:61">
      <c r="A57" s="135"/>
      <c r="B57" s="135"/>
      <c r="C57" s="135"/>
      <c r="D57" s="135"/>
      <c r="E57" s="135"/>
      <c r="F57" s="135"/>
      <c r="G57" s="135"/>
      <c r="H57" s="135"/>
      <c r="I57" s="135"/>
      <c r="J57" s="135"/>
      <c r="K57" s="135"/>
      <c r="L57" s="135"/>
      <c r="M57" s="135"/>
      <c r="N57" s="135"/>
      <c r="O57" s="135"/>
      <c r="P57" s="135"/>
      <c r="Q57" s="135"/>
      <c r="R57" s="135"/>
      <c r="S57" s="135"/>
      <c r="T57" s="135"/>
      <c r="U57" s="135"/>
      <c r="V57" s="135"/>
      <c r="W57" s="135"/>
      <c r="X57" s="135"/>
      <c r="Y57" s="135"/>
      <c r="Z57" s="135"/>
      <c r="AA57" s="135"/>
      <c r="AB57" s="135"/>
      <c r="AC57" s="135"/>
      <c r="AD57" s="135"/>
      <c r="AE57" s="135"/>
      <c r="AF57" s="135"/>
      <c r="AG57" s="135"/>
      <c r="AH57" s="135"/>
      <c r="AI57" s="135"/>
      <c r="AJ57" s="135"/>
      <c r="AK57" s="135"/>
      <c r="AL57" s="135"/>
      <c r="AM57" s="135"/>
      <c r="AN57" s="135"/>
      <c r="AO57" s="135"/>
      <c r="AP57" s="135"/>
      <c r="AQ57" s="135"/>
      <c r="AR57" s="135"/>
      <c r="AS57" s="135"/>
      <c r="AT57" s="135"/>
      <c r="AU57" s="135"/>
      <c r="AV57" s="135"/>
      <c r="AW57" s="135"/>
      <c r="AX57" s="135"/>
      <c r="AY57" s="135"/>
      <c r="AZ57" s="135"/>
      <c r="BA57" s="135"/>
      <c r="BB57" s="135"/>
      <c r="BC57" s="135"/>
      <c r="BD57" s="135"/>
      <c r="BE57" s="135"/>
      <c r="BF57" s="135"/>
      <c r="BG57" s="135"/>
      <c r="BH57" s="135"/>
      <c r="BI57" s="135"/>
    </row>
    <row r="58" spans="1:61">
      <c r="A58" s="135"/>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c r="Z58" s="135"/>
      <c r="AA58" s="135"/>
      <c r="AB58" s="135"/>
      <c r="AC58" s="135"/>
      <c r="AD58" s="135"/>
      <c r="AE58" s="135"/>
      <c r="AF58" s="135"/>
      <c r="AG58" s="135"/>
      <c r="AH58" s="135"/>
      <c r="AI58" s="135"/>
      <c r="AJ58" s="135"/>
      <c r="AK58" s="135"/>
      <c r="AL58" s="135"/>
      <c r="AM58" s="135"/>
      <c r="AN58" s="135"/>
      <c r="AO58" s="135"/>
      <c r="AP58" s="135"/>
      <c r="AQ58" s="135"/>
      <c r="AR58" s="135"/>
      <c r="AS58" s="135"/>
      <c r="AT58" s="135"/>
      <c r="AU58" s="135"/>
      <c r="AV58" s="135"/>
      <c r="AW58" s="135"/>
      <c r="AX58" s="135"/>
      <c r="AY58" s="135"/>
      <c r="AZ58" s="135"/>
      <c r="BA58" s="135"/>
      <c r="BB58" s="135"/>
      <c r="BC58" s="135"/>
      <c r="BD58" s="135"/>
      <c r="BE58" s="135"/>
      <c r="BF58" s="135"/>
      <c r="BG58" s="135"/>
      <c r="BH58" s="135"/>
      <c r="BI58" s="135"/>
    </row>
    <row r="59" spans="1:61">
      <c r="A59" s="135"/>
      <c r="B59" s="135"/>
      <c r="C59" s="135"/>
      <c r="D59" s="135"/>
      <c r="E59" s="135"/>
      <c r="F59" s="135"/>
      <c r="G59" s="135"/>
      <c r="H59" s="135"/>
      <c r="I59" s="135"/>
      <c r="J59" s="135"/>
      <c r="K59" s="135"/>
      <c r="L59" s="135"/>
      <c r="M59" s="135"/>
      <c r="N59" s="135"/>
      <c r="O59" s="135"/>
      <c r="P59" s="135"/>
      <c r="Q59" s="135"/>
      <c r="R59" s="135"/>
      <c r="S59" s="135"/>
      <c r="T59" s="135"/>
      <c r="U59" s="135"/>
      <c r="V59" s="135"/>
      <c r="W59" s="135"/>
      <c r="X59" s="135"/>
      <c r="Y59" s="135"/>
      <c r="Z59" s="135"/>
      <c r="AA59" s="135"/>
      <c r="AB59" s="135"/>
      <c r="AC59" s="135"/>
      <c r="AD59" s="135"/>
      <c r="AE59" s="135"/>
      <c r="AF59" s="135"/>
      <c r="AG59" s="135"/>
      <c r="AH59" s="135"/>
      <c r="AI59" s="135"/>
      <c r="AJ59" s="135"/>
      <c r="AK59" s="135"/>
      <c r="AL59" s="135"/>
      <c r="AM59" s="135"/>
      <c r="AN59" s="135"/>
      <c r="AO59" s="135"/>
      <c r="AP59" s="135"/>
      <c r="AQ59" s="135"/>
      <c r="AR59" s="135"/>
      <c r="AS59" s="135"/>
      <c r="AT59" s="135"/>
      <c r="AU59" s="135"/>
      <c r="AV59" s="135"/>
      <c r="AW59" s="135"/>
      <c r="AX59" s="135"/>
      <c r="AY59" s="135"/>
      <c r="AZ59" s="135"/>
      <c r="BA59" s="135"/>
      <c r="BB59" s="135"/>
      <c r="BC59" s="135"/>
      <c r="BD59" s="135"/>
      <c r="BE59" s="135"/>
      <c r="BF59" s="135"/>
      <c r="BG59" s="135"/>
      <c r="BH59" s="135"/>
      <c r="BI59" s="135"/>
    </row>
    <row r="60" spans="1:61">
      <c r="A60" s="135"/>
      <c r="B60" s="135"/>
      <c r="C60" s="135"/>
      <c r="D60" s="135"/>
      <c r="E60" s="135"/>
      <c r="F60" s="135"/>
      <c r="G60" s="135"/>
      <c r="H60" s="135"/>
      <c r="I60" s="135"/>
      <c r="J60" s="135"/>
      <c r="K60" s="135"/>
      <c r="L60" s="135"/>
      <c r="M60" s="135"/>
      <c r="N60" s="135"/>
      <c r="O60" s="135"/>
      <c r="P60" s="135"/>
      <c r="Q60" s="135"/>
      <c r="R60" s="135"/>
      <c r="S60" s="135"/>
      <c r="T60" s="135"/>
      <c r="U60" s="135"/>
      <c r="V60" s="135"/>
      <c r="W60" s="135"/>
      <c r="X60" s="135"/>
      <c r="Y60" s="135"/>
      <c r="Z60" s="135"/>
      <c r="AA60" s="135"/>
      <c r="AB60" s="135"/>
      <c r="AC60" s="135"/>
      <c r="AD60" s="135"/>
      <c r="AE60" s="135"/>
      <c r="AF60" s="135"/>
      <c r="AG60" s="135"/>
      <c r="AH60" s="135"/>
      <c r="AI60" s="135"/>
      <c r="AJ60" s="135"/>
      <c r="AK60" s="135"/>
      <c r="AL60" s="135"/>
      <c r="AM60" s="135"/>
      <c r="AN60" s="135"/>
      <c r="AO60" s="135"/>
      <c r="AP60" s="135"/>
      <c r="AQ60" s="135"/>
      <c r="AR60" s="135"/>
      <c r="AS60" s="135"/>
      <c r="AT60" s="135"/>
      <c r="AU60" s="135"/>
      <c r="AV60" s="135"/>
      <c r="AW60" s="135"/>
      <c r="AX60" s="135"/>
      <c r="AY60" s="135"/>
      <c r="AZ60" s="135"/>
      <c r="BA60" s="135"/>
      <c r="BB60" s="135"/>
      <c r="BC60" s="135"/>
      <c r="BD60" s="135"/>
      <c r="BE60" s="135"/>
      <c r="BF60" s="135"/>
      <c r="BG60" s="135"/>
      <c r="BH60" s="135"/>
      <c r="BI60" s="135"/>
    </row>
    <row r="61" spans="1:61">
      <c r="A61" s="135"/>
      <c r="B61" s="135"/>
      <c r="C61" s="135"/>
      <c r="D61" s="135"/>
      <c r="E61" s="135"/>
      <c r="F61" s="135"/>
      <c r="G61" s="135"/>
      <c r="H61" s="135"/>
      <c r="I61" s="135"/>
      <c r="J61" s="135"/>
      <c r="K61" s="135"/>
      <c r="L61" s="135"/>
      <c r="M61" s="135"/>
      <c r="N61" s="135"/>
      <c r="O61" s="135"/>
      <c r="P61" s="135"/>
      <c r="Q61" s="135"/>
      <c r="R61" s="135"/>
      <c r="S61" s="135"/>
      <c r="T61" s="135"/>
      <c r="U61" s="135"/>
      <c r="V61" s="135"/>
      <c r="W61" s="135"/>
      <c r="X61" s="135"/>
      <c r="Y61" s="135"/>
      <c r="Z61" s="135"/>
      <c r="AA61" s="135"/>
      <c r="AB61" s="135"/>
      <c r="AC61" s="135"/>
      <c r="AD61" s="135"/>
      <c r="AE61" s="135"/>
      <c r="AF61" s="135"/>
      <c r="AG61" s="135"/>
      <c r="AH61" s="135"/>
      <c r="AI61" s="135"/>
      <c r="AJ61" s="135"/>
      <c r="AK61" s="135"/>
      <c r="AL61" s="135"/>
      <c r="AM61" s="135"/>
      <c r="AN61" s="135"/>
      <c r="AO61" s="135"/>
      <c r="AP61" s="135"/>
      <c r="AQ61" s="135"/>
      <c r="AR61" s="135"/>
      <c r="AS61" s="135"/>
      <c r="AT61" s="135"/>
      <c r="AU61" s="135"/>
      <c r="AV61" s="135"/>
      <c r="AW61" s="135"/>
      <c r="AX61" s="135"/>
      <c r="AY61" s="135"/>
      <c r="AZ61" s="135"/>
      <c r="BA61" s="135"/>
      <c r="BB61" s="135"/>
      <c r="BC61" s="135"/>
      <c r="BD61" s="135"/>
      <c r="BE61" s="135"/>
      <c r="BF61" s="135"/>
      <c r="BG61" s="135"/>
      <c r="BH61" s="135"/>
      <c r="BI61" s="135"/>
    </row>
    <row r="62" spans="1:61">
      <c r="A62" s="135"/>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c r="Z62" s="135"/>
      <c r="AA62" s="135"/>
      <c r="AB62" s="135"/>
      <c r="AC62" s="135"/>
      <c r="AD62" s="135"/>
      <c r="AE62" s="135"/>
      <c r="AF62" s="135"/>
      <c r="AG62" s="135"/>
      <c r="AH62" s="135"/>
      <c r="AI62" s="135"/>
      <c r="AJ62" s="135"/>
      <c r="AK62" s="135"/>
      <c r="AL62" s="135"/>
      <c r="AM62" s="135"/>
      <c r="AN62" s="135"/>
      <c r="AO62" s="135"/>
      <c r="AP62" s="135"/>
      <c r="AQ62" s="135"/>
      <c r="AR62" s="135"/>
      <c r="AS62" s="135"/>
      <c r="AT62" s="135"/>
      <c r="AU62" s="135"/>
      <c r="AV62" s="135"/>
      <c r="AW62" s="135"/>
      <c r="AX62" s="135"/>
      <c r="AY62" s="135"/>
      <c r="AZ62" s="135"/>
      <c r="BA62" s="135"/>
      <c r="BB62" s="135"/>
      <c r="BC62" s="135"/>
      <c r="BD62" s="135"/>
      <c r="BE62" s="135"/>
      <c r="BF62" s="135"/>
      <c r="BG62" s="135"/>
      <c r="BH62" s="135"/>
      <c r="BI62" s="135"/>
    </row>
    <row r="63" spans="1:61">
      <c r="A63" s="135"/>
      <c r="B63" s="135"/>
      <c r="C63" s="135"/>
      <c r="D63" s="135"/>
      <c r="E63" s="135"/>
      <c r="F63" s="135"/>
      <c r="G63" s="135"/>
      <c r="H63" s="135"/>
      <c r="I63" s="135"/>
      <c r="J63" s="135"/>
      <c r="K63" s="135"/>
      <c r="L63" s="135"/>
      <c r="M63" s="135"/>
      <c r="N63" s="135"/>
      <c r="O63" s="135"/>
      <c r="P63" s="135"/>
      <c r="Q63" s="135"/>
      <c r="R63" s="135"/>
      <c r="S63" s="135"/>
      <c r="T63" s="135"/>
      <c r="U63" s="135"/>
      <c r="V63" s="135"/>
      <c r="W63" s="135"/>
      <c r="X63" s="135"/>
      <c r="Y63" s="135"/>
      <c r="Z63" s="135"/>
      <c r="AA63" s="135"/>
      <c r="AB63" s="135"/>
      <c r="AC63" s="135"/>
      <c r="AD63" s="135"/>
      <c r="AE63" s="135"/>
      <c r="AF63" s="135"/>
      <c r="AG63" s="135"/>
      <c r="AH63" s="135"/>
      <c r="AI63" s="135"/>
      <c r="AJ63" s="135"/>
      <c r="AK63" s="135"/>
      <c r="AL63" s="135"/>
      <c r="AM63" s="135"/>
      <c r="AN63" s="135"/>
      <c r="AO63" s="135"/>
      <c r="AP63" s="135"/>
      <c r="AQ63" s="135"/>
      <c r="AR63" s="135"/>
      <c r="AS63" s="135"/>
      <c r="AT63" s="135"/>
      <c r="AU63" s="135"/>
      <c r="AV63" s="135"/>
      <c r="AW63" s="135"/>
      <c r="AX63" s="135"/>
      <c r="AY63" s="135"/>
      <c r="AZ63" s="135"/>
      <c r="BA63" s="135"/>
      <c r="BB63" s="135"/>
      <c r="BC63" s="135"/>
      <c r="BD63" s="135"/>
      <c r="BE63" s="135"/>
      <c r="BF63" s="135"/>
      <c r="BG63" s="135"/>
      <c r="BH63" s="135"/>
      <c r="BI63" s="135"/>
    </row>
    <row r="64" spans="1:61">
      <c r="A64" s="135"/>
      <c r="B64" s="135"/>
      <c r="C64" s="135"/>
      <c r="D64" s="135"/>
      <c r="E64" s="135"/>
      <c r="F64" s="135"/>
      <c r="G64" s="135"/>
      <c r="H64" s="135"/>
      <c r="I64" s="135"/>
      <c r="J64" s="135"/>
      <c r="K64" s="135"/>
      <c r="L64" s="135"/>
      <c r="M64" s="135"/>
      <c r="N64" s="135"/>
      <c r="O64" s="135"/>
      <c r="P64" s="135"/>
      <c r="Q64" s="135"/>
      <c r="R64" s="135"/>
      <c r="S64" s="135"/>
      <c r="T64" s="135"/>
      <c r="U64" s="135"/>
      <c r="V64" s="135"/>
      <c r="W64" s="135"/>
      <c r="X64" s="135"/>
      <c r="Y64" s="135"/>
      <c r="Z64" s="135"/>
      <c r="AA64" s="135"/>
      <c r="AB64" s="135"/>
      <c r="AC64" s="135"/>
      <c r="AD64" s="135"/>
      <c r="AE64" s="135"/>
      <c r="AF64" s="135"/>
      <c r="AG64" s="135"/>
      <c r="AH64" s="135"/>
      <c r="AI64" s="135"/>
      <c r="AJ64" s="135"/>
      <c r="AK64" s="135"/>
      <c r="AL64" s="135"/>
      <c r="AM64" s="135"/>
      <c r="AN64" s="135"/>
      <c r="AO64" s="135"/>
      <c r="AP64" s="135"/>
      <c r="AQ64" s="135"/>
      <c r="AR64" s="135"/>
      <c r="AS64" s="135"/>
      <c r="AT64" s="135"/>
      <c r="AU64" s="135"/>
      <c r="AV64" s="135"/>
      <c r="AW64" s="135"/>
      <c r="AX64" s="135"/>
      <c r="AY64" s="135"/>
      <c r="AZ64" s="135"/>
      <c r="BA64" s="135"/>
      <c r="BB64" s="135"/>
      <c r="BC64" s="135"/>
      <c r="BD64" s="135"/>
      <c r="BE64" s="135"/>
      <c r="BF64" s="135"/>
      <c r="BG64" s="135"/>
      <c r="BH64" s="135"/>
      <c r="BI64" s="135"/>
    </row>
    <row r="65" spans="1:61">
      <c r="A65" s="135"/>
      <c r="B65" s="135"/>
      <c r="C65" s="135"/>
      <c r="D65" s="135"/>
      <c r="E65" s="135"/>
      <c r="F65" s="135"/>
      <c r="G65" s="135"/>
      <c r="H65" s="135"/>
      <c r="I65" s="135"/>
      <c r="J65" s="135"/>
      <c r="K65" s="135"/>
      <c r="L65" s="135"/>
      <c r="M65" s="135"/>
      <c r="N65" s="135"/>
      <c r="O65" s="135"/>
      <c r="P65" s="135"/>
      <c r="Q65" s="135"/>
      <c r="R65" s="135"/>
      <c r="S65" s="135"/>
      <c r="T65" s="135"/>
      <c r="U65" s="135"/>
      <c r="V65" s="135"/>
      <c r="W65" s="135"/>
      <c r="X65" s="135"/>
      <c r="Y65" s="135"/>
      <c r="Z65" s="135"/>
      <c r="AA65" s="135"/>
      <c r="AB65" s="135"/>
      <c r="AC65" s="135"/>
      <c r="AD65" s="135"/>
      <c r="AE65" s="135"/>
      <c r="AF65" s="135"/>
      <c r="AG65" s="135"/>
      <c r="AH65" s="135"/>
      <c r="AI65" s="135"/>
      <c r="AJ65" s="135"/>
      <c r="AK65" s="135"/>
      <c r="AL65" s="135"/>
      <c r="AM65" s="135"/>
      <c r="AN65" s="135"/>
      <c r="AO65" s="135"/>
      <c r="AP65" s="135"/>
      <c r="AQ65" s="135"/>
      <c r="AR65" s="135"/>
      <c r="AS65" s="135"/>
      <c r="AT65" s="135"/>
      <c r="AU65" s="135"/>
      <c r="AV65" s="135"/>
      <c r="AW65" s="135"/>
      <c r="AX65" s="135"/>
      <c r="AY65" s="135"/>
      <c r="AZ65" s="135"/>
      <c r="BA65" s="135"/>
      <c r="BB65" s="135"/>
      <c r="BC65" s="135"/>
      <c r="BD65" s="135"/>
      <c r="BE65" s="135"/>
      <c r="BF65" s="135"/>
      <c r="BG65" s="135"/>
      <c r="BH65" s="135"/>
      <c r="BI65" s="135"/>
    </row>
    <row r="66" spans="1:61">
      <c r="A66" s="135"/>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c r="Z66" s="135"/>
      <c r="AA66" s="135"/>
      <c r="AB66" s="135"/>
      <c r="AC66" s="135"/>
      <c r="AD66" s="135"/>
      <c r="AE66" s="135"/>
      <c r="AF66" s="135"/>
      <c r="AG66" s="135"/>
      <c r="AH66" s="135"/>
      <c r="AI66" s="135"/>
      <c r="AJ66" s="135"/>
      <c r="AK66" s="135"/>
      <c r="AL66" s="135"/>
      <c r="AM66" s="135"/>
      <c r="AN66" s="135"/>
      <c r="AO66" s="135"/>
      <c r="AP66" s="135"/>
      <c r="AQ66" s="135"/>
      <c r="AR66" s="135"/>
      <c r="AS66" s="135"/>
      <c r="AT66" s="135"/>
      <c r="AU66" s="135"/>
      <c r="AV66" s="135"/>
      <c r="AW66" s="135"/>
      <c r="AX66" s="135"/>
      <c r="AY66" s="135"/>
      <c r="AZ66" s="135"/>
      <c r="BA66" s="135"/>
      <c r="BB66" s="135"/>
      <c r="BC66" s="135"/>
      <c r="BD66" s="135"/>
      <c r="BE66" s="135"/>
      <c r="BF66" s="135"/>
      <c r="BG66" s="135"/>
      <c r="BH66" s="135"/>
      <c r="BI66" s="135"/>
    </row>
    <row r="67" spans="1:61">
      <c r="A67" s="135"/>
      <c r="B67" s="135"/>
      <c r="C67" s="135"/>
      <c r="D67" s="135"/>
      <c r="E67" s="135"/>
      <c r="F67" s="135"/>
      <c r="G67" s="135"/>
      <c r="H67" s="135"/>
      <c r="I67" s="135"/>
      <c r="J67" s="135"/>
      <c r="K67" s="135"/>
      <c r="L67" s="135"/>
      <c r="M67" s="135"/>
      <c r="N67" s="135"/>
      <c r="O67" s="135"/>
      <c r="P67" s="135"/>
      <c r="Q67" s="135"/>
      <c r="R67" s="135"/>
      <c r="S67" s="135"/>
      <c r="T67" s="135"/>
      <c r="U67" s="135"/>
      <c r="V67" s="135"/>
      <c r="W67" s="135"/>
      <c r="X67" s="135"/>
      <c r="Y67" s="135"/>
      <c r="Z67" s="135"/>
      <c r="AA67" s="135"/>
      <c r="AB67" s="135"/>
      <c r="AC67" s="135"/>
      <c r="AD67" s="135"/>
      <c r="AE67" s="135"/>
      <c r="AF67" s="135"/>
      <c r="AG67" s="135"/>
      <c r="AH67" s="135"/>
      <c r="AI67" s="135"/>
      <c r="AJ67" s="135"/>
      <c r="AK67" s="135"/>
      <c r="AL67" s="135"/>
      <c r="AM67" s="135"/>
      <c r="AN67" s="135"/>
      <c r="AO67" s="135"/>
      <c r="AP67" s="135"/>
      <c r="AQ67" s="135"/>
      <c r="AR67" s="135"/>
      <c r="AS67" s="135"/>
      <c r="AT67" s="135"/>
      <c r="AU67" s="135"/>
      <c r="AV67" s="135"/>
      <c r="AW67" s="135"/>
      <c r="AX67" s="135"/>
      <c r="AY67" s="135"/>
      <c r="AZ67" s="135"/>
      <c r="BA67" s="135"/>
      <c r="BB67" s="135"/>
      <c r="BC67" s="135"/>
      <c r="BD67" s="135"/>
      <c r="BE67" s="135"/>
      <c r="BF67" s="135"/>
      <c r="BG67" s="135"/>
      <c r="BH67" s="135"/>
      <c r="BI67" s="135"/>
    </row>
    <row r="68" spans="1:61">
      <c r="A68" s="135"/>
      <c r="B68" s="135"/>
      <c r="C68" s="135"/>
      <c r="D68" s="135"/>
      <c r="E68" s="135"/>
      <c r="F68" s="135"/>
      <c r="G68" s="135"/>
      <c r="H68" s="135"/>
      <c r="I68" s="135"/>
      <c r="J68" s="135"/>
      <c r="K68" s="135"/>
      <c r="L68" s="135"/>
      <c r="M68" s="135"/>
      <c r="N68" s="135"/>
      <c r="O68" s="135"/>
      <c r="P68" s="135"/>
      <c r="Q68" s="135"/>
      <c r="R68" s="135"/>
      <c r="S68" s="135"/>
      <c r="T68" s="135"/>
      <c r="U68" s="135"/>
      <c r="V68" s="135"/>
      <c r="W68" s="135"/>
      <c r="X68" s="135"/>
      <c r="Y68" s="135"/>
      <c r="Z68" s="135"/>
      <c r="AA68" s="135"/>
      <c r="AB68" s="135"/>
      <c r="AC68" s="135"/>
      <c r="AD68" s="135"/>
      <c r="AE68" s="135"/>
      <c r="AF68" s="135"/>
      <c r="AG68" s="135"/>
      <c r="AH68" s="135"/>
      <c r="AI68" s="135"/>
      <c r="AJ68" s="135"/>
      <c r="AK68" s="135"/>
      <c r="AL68" s="135"/>
      <c r="AM68" s="135"/>
      <c r="AN68" s="135"/>
      <c r="AO68" s="135"/>
      <c r="AP68" s="135"/>
      <c r="AQ68" s="135"/>
      <c r="AR68" s="135"/>
      <c r="AS68" s="135"/>
      <c r="AT68" s="135"/>
      <c r="AU68" s="135"/>
      <c r="AV68" s="135"/>
      <c r="AW68" s="135"/>
      <c r="AX68" s="135"/>
      <c r="AY68" s="135"/>
      <c r="AZ68" s="135"/>
      <c r="BA68" s="135"/>
      <c r="BB68" s="135"/>
      <c r="BC68" s="135"/>
      <c r="BD68" s="135"/>
      <c r="BE68" s="135"/>
      <c r="BF68" s="135"/>
      <c r="BG68" s="135"/>
      <c r="BH68" s="135"/>
      <c r="BI68" s="135"/>
    </row>
    <row r="69" spans="1:61">
      <c r="A69" s="135"/>
      <c r="B69" s="135"/>
      <c r="C69" s="135"/>
      <c r="D69" s="135"/>
      <c r="E69" s="135"/>
      <c r="F69" s="135"/>
      <c r="G69" s="135"/>
      <c r="H69" s="135"/>
      <c r="I69" s="135"/>
      <c r="J69" s="135"/>
      <c r="K69" s="135"/>
      <c r="L69" s="135"/>
      <c r="M69" s="135"/>
      <c r="N69" s="135"/>
      <c r="O69" s="135"/>
      <c r="P69" s="135"/>
      <c r="Q69" s="135"/>
      <c r="R69" s="135"/>
      <c r="S69" s="135"/>
      <c r="T69" s="135"/>
      <c r="U69" s="135"/>
      <c r="V69" s="135"/>
      <c r="W69" s="135"/>
      <c r="X69" s="135"/>
      <c r="Y69" s="135"/>
      <c r="Z69" s="135"/>
      <c r="AA69" s="135"/>
      <c r="AB69" s="135"/>
      <c r="AC69" s="135"/>
      <c r="AD69" s="135"/>
      <c r="AE69" s="135"/>
      <c r="AF69" s="135"/>
      <c r="AG69" s="135"/>
      <c r="AH69" s="135"/>
      <c r="AI69" s="135"/>
      <c r="AJ69" s="135"/>
      <c r="AK69" s="135"/>
      <c r="AL69" s="135"/>
      <c r="AM69" s="135"/>
      <c r="AN69" s="135"/>
      <c r="AO69" s="135"/>
      <c r="AP69" s="135"/>
      <c r="AQ69" s="135"/>
      <c r="AR69" s="135"/>
      <c r="AS69" s="135"/>
      <c r="AT69" s="135"/>
      <c r="AU69" s="135"/>
      <c r="AV69" s="135"/>
      <c r="AW69" s="135"/>
      <c r="AX69" s="135"/>
      <c r="AY69" s="135"/>
      <c r="AZ69" s="135"/>
      <c r="BA69" s="135"/>
      <c r="BB69" s="135"/>
      <c r="BC69" s="135"/>
      <c r="BD69" s="135"/>
      <c r="BE69" s="135"/>
      <c r="BF69" s="135"/>
      <c r="BG69" s="135"/>
      <c r="BH69" s="135"/>
      <c r="BI69" s="135"/>
    </row>
    <row r="70" spans="1:61">
      <c r="A70" s="135"/>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35"/>
      <c r="AK70" s="135"/>
      <c r="AL70" s="135"/>
      <c r="AM70" s="135"/>
      <c r="AN70" s="135"/>
      <c r="AO70" s="135"/>
      <c r="AP70" s="135"/>
      <c r="AQ70" s="135"/>
      <c r="AR70" s="135"/>
      <c r="AS70" s="135"/>
      <c r="AT70" s="135"/>
      <c r="AU70" s="135"/>
      <c r="AV70" s="135"/>
      <c r="AW70" s="135"/>
      <c r="AX70" s="135"/>
      <c r="AY70" s="135"/>
      <c r="AZ70" s="135"/>
      <c r="BA70" s="135"/>
      <c r="BB70" s="135"/>
      <c r="BC70" s="135"/>
      <c r="BD70" s="135"/>
      <c r="BE70" s="135"/>
      <c r="BF70" s="135"/>
      <c r="BG70" s="135"/>
      <c r="BH70" s="135"/>
      <c r="BI70" s="135"/>
    </row>
    <row r="71" spans="1:61">
      <c r="A71" s="135"/>
      <c r="B71" s="135"/>
      <c r="C71" s="135"/>
      <c r="D71" s="135"/>
      <c r="E71" s="135"/>
      <c r="F71" s="135"/>
      <c r="G71" s="135"/>
      <c r="H71" s="135"/>
      <c r="I71" s="135"/>
      <c r="J71" s="135"/>
      <c r="K71" s="135"/>
      <c r="L71" s="135"/>
      <c r="M71" s="135"/>
      <c r="N71" s="135"/>
      <c r="O71" s="135"/>
      <c r="P71" s="135"/>
      <c r="Q71" s="135"/>
      <c r="R71" s="135"/>
      <c r="S71" s="135"/>
      <c r="T71" s="135"/>
      <c r="U71" s="135"/>
      <c r="V71" s="135"/>
      <c r="W71" s="135"/>
      <c r="X71" s="135"/>
      <c r="Y71" s="135"/>
      <c r="Z71" s="135"/>
      <c r="AA71" s="135"/>
      <c r="AB71" s="135"/>
      <c r="AC71" s="135"/>
      <c r="AD71" s="135"/>
      <c r="AE71" s="135"/>
      <c r="AF71" s="135"/>
      <c r="AG71" s="135"/>
      <c r="AH71" s="135"/>
      <c r="AI71" s="135"/>
      <c r="AJ71" s="135"/>
      <c r="AK71" s="135"/>
      <c r="AL71" s="135"/>
      <c r="AM71" s="135"/>
      <c r="AN71" s="135"/>
      <c r="AO71" s="135"/>
      <c r="AP71" s="135"/>
      <c r="AQ71" s="135"/>
      <c r="AR71" s="135"/>
      <c r="AS71" s="135"/>
      <c r="AT71" s="135"/>
      <c r="AU71" s="135"/>
      <c r="AV71" s="135"/>
      <c r="AW71" s="135"/>
      <c r="AX71" s="135"/>
      <c r="AY71" s="135"/>
      <c r="AZ71" s="135"/>
      <c r="BA71" s="135"/>
      <c r="BB71" s="135"/>
      <c r="BC71" s="135"/>
      <c r="BD71" s="135"/>
      <c r="BE71" s="135"/>
      <c r="BF71" s="135"/>
      <c r="BG71" s="135"/>
      <c r="BH71" s="135"/>
      <c r="BI71" s="135"/>
    </row>
    <row r="72" spans="1:61">
      <c r="A72" s="135"/>
      <c r="B72" s="135"/>
      <c r="C72" s="135"/>
      <c r="D72" s="135"/>
      <c r="E72" s="135"/>
      <c r="F72" s="135"/>
      <c r="G72" s="135"/>
      <c r="H72" s="135"/>
      <c r="I72" s="135"/>
      <c r="J72" s="135"/>
      <c r="K72" s="135"/>
      <c r="L72" s="135"/>
      <c r="M72" s="135"/>
      <c r="N72" s="135"/>
      <c r="O72" s="135"/>
      <c r="P72" s="135"/>
      <c r="Q72" s="135"/>
      <c r="R72" s="135"/>
      <c r="S72" s="135"/>
      <c r="T72" s="135"/>
      <c r="U72" s="135"/>
      <c r="V72" s="135"/>
      <c r="W72" s="135"/>
      <c r="X72" s="135"/>
      <c r="Y72" s="135"/>
      <c r="Z72" s="135"/>
      <c r="AA72" s="135"/>
      <c r="AB72" s="135"/>
      <c r="AC72" s="135"/>
      <c r="AD72" s="135"/>
      <c r="AE72" s="135"/>
      <c r="AF72" s="135"/>
      <c r="AG72" s="135"/>
      <c r="AH72" s="135"/>
      <c r="AI72" s="135"/>
      <c r="AJ72" s="135"/>
      <c r="AK72" s="135"/>
      <c r="AL72" s="135"/>
      <c r="AM72" s="135"/>
      <c r="AN72" s="135"/>
      <c r="AO72" s="135"/>
      <c r="AP72" s="135"/>
      <c r="AQ72" s="135"/>
      <c r="AR72" s="135"/>
      <c r="AS72" s="135"/>
      <c r="AT72" s="135"/>
      <c r="AU72" s="135"/>
      <c r="AV72" s="135"/>
      <c r="AW72" s="135"/>
      <c r="AX72" s="135"/>
      <c r="AY72" s="135"/>
      <c r="AZ72" s="135"/>
      <c r="BA72" s="135"/>
      <c r="BB72" s="135"/>
      <c r="BC72" s="135"/>
      <c r="BD72" s="135"/>
      <c r="BE72" s="135"/>
      <c r="BF72" s="135"/>
      <c r="BG72" s="135"/>
      <c r="BH72" s="135"/>
      <c r="BI72" s="135"/>
    </row>
    <row r="73" spans="1:61">
      <c r="A73" s="135"/>
      <c r="B73" s="135"/>
      <c r="C73" s="135"/>
      <c r="D73" s="135"/>
      <c r="E73" s="135"/>
      <c r="F73" s="135"/>
      <c r="G73" s="135"/>
      <c r="H73" s="135"/>
      <c r="I73" s="135"/>
      <c r="J73" s="135"/>
      <c r="K73" s="135"/>
      <c r="L73" s="135"/>
      <c r="M73" s="135"/>
      <c r="N73" s="135"/>
      <c r="O73" s="135"/>
      <c r="P73" s="135"/>
      <c r="Q73" s="135"/>
      <c r="R73" s="135"/>
      <c r="S73" s="135"/>
      <c r="T73" s="135"/>
      <c r="U73" s="135"/>
      <c r="V73" s="135"/>
      <c r="W73" s="135"/>
      <c r="X73" s="135"/>
      <c r="Y73" s="135"/>
      <c r="Z73" s="135"/>
      <c r="AA73" s="135"/>
      <c r="AB73" s="135"/>
      <c r="AC73" s="135"/>
      <c r="AD73" s="135"/>
      <c r="AE73" s="135"/>
      <c r="AF73" s="135"/>
      <c r="AG73" s="135"/>
      <c r="AH73" s="135"/>
      <c r="AI73" s="135"/>
      <c r="AJ73" s="135"/>
      <c r="AK73" s="135"/>
      <c r="AL73" s="135"/>
      <c r="AM73" s="135"/>
      <c r="AN73" s="135"/>
      <c r="AO73" s="135"/>
      <c r="AP73" s="135"/>
      <c r="AQ73" s="135"/>
      <c r="AR73" s="135"/>
      <c r="AS73" s="135"/>
      <c r="AT73" s="135"/>
      <c r="AU73" s="135"/>
      <c r="AV73" s="135"/>
      <c r="AW73" s="135"/>
      <c r="AX73" s="135"/>
      <c r="AY73" s="135"/>
      <c r="AZ73" s="135"/>
      <c r="BA73" s="135"/>
      <c r="BB73" s="135"/>
      <c r="BC73" s="135"/>
      <c r="BD73" s="135"/>
      <c r="BE73" s="135"/>
      <c r="BF73" s="135"/>
      <c r="BG73" s="135"/>
      <c r="BH73" s="135"/>
      <c r="BI73" s="135"/>
    </row>
    <row r="74" spans="1:61">
      <c r="A74" s="135"/>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c r="Z74" s="135"/>
      <c r="AA74" s="135"/>
      <c r="AB74" s="135"/>
      <c r="AC74" s="135"/>
      <c r="AD74" s="135"/>
      <c r="AE74" s="135"/>
      <c r="AF74" s="135"/>
      <c r="AG74" s="135"/>
      <c r="AH74" s="135"/>
      <c r="AI74" s="135"/>
      <c r="AJ74" s="135"/>
      <c r="AK74" s="135"/>
      <c r="AL74" s="135"/>
      <c r="AM74" s="135"/>
      <c r="AN74" s="135"/>
      <c r="AO74" s="135"/>
      <c r="AP74" s="135"/>
      <c r="AQ74" s="135"/>
      <c r="AR74" s="135"/>
      <c r="AS74" s="135"/>
      <c r="AT74" s="135"/>
      <c r="AU74" s="135"/>
      <c r="AV74" s="135"/>
      <c r="AW74" s="135"/>
      <c r="AX74" s="135"/>
      <c r="AY74" s="135"/>
      <c r="AZ74" s="135"/>
      <c r="BA74" s="135"/>
      <c r="BB74" s="135"/>
      <c r="BC74" s="135"/>
      <c r="BD74" s="135"/>
      <c r="BE74" s="135"/>
      <c r="BF74" s="135"/>
      <c r="BG74" s="135"/>
      <c r="BH74" s="135"/>
      <c r="BI74" s="135"/>
    </row>
    <row r="75" spans="1:61">
      <c r="A75" s="135"/>
      <c r="B75" s="135"/>
      <c r="C75" s="135"/>
      <c r="D75" s="135"/>
      <c r="E75" s="135"/>
      <c r="F75" s="135"/>
      <c r="G75" s="135"/>
      <c r="H75" s="135"/>
      <c r="I75" s="135"/>
      <c r="J75" s="135"/>
      <c r="K75" s="135"/>
      <c r="L75" s="135"/>
      <c r="M75" s="135"/>
      <c r="N75" s="135"/>
      <c r="O75" s="135"/>
      <c r="P75" s="135"/>
      <c r="Q75" s="135"/>
      <c r="R75" s="135"/>
      <c r="S75" s="135"/>
      <c r="T75" s="135"/>
      <c r="U75" s="135"/>
      <c r="V75" s="135"/>
      <c r="W75" s="135"/>
      <c r="X75" s="135"/>
      <c r="Y75" s="135"/>
      <c r="Z75" s="135"/>
      <c r="AA75" s="135"/>
      <c r="AB75" s="135"/>
      <c r="AC75" s="135"/>
      <c r="AD75" s="135"/>
      <c r="AE75" s="135"/>
      <c r="AF75" s="135"/>
      <c r="AG75" s="135"/>
      <c r="AH75" s="135"/>
      <c r="AI75" s="135"/>
      <c r="AJ75" s="135"/>
      <c r="AK75" s="135"/>
      <c r="AL75" s="135"/>
      <c r="AM75" s="135"/>
      <c r="AN75" s="135"/>
      <c r="AO75" s="135"/>
      <c r="AP75" s="135"/>
      <c r="AQ75" s="135"/>
      <c r="AR75" s="135"/>
      <c r="AS75" s="135"/>
      <c r="AT75" s="135"/>
      <c r="AU75" s="135"/>
      <c r="AV75" s="135"/>
      <c r="AW75" s="135"/>
      <c r="AX75" s="135"/>
      <c r="AY75" s="135"/>
      <c r="AZ75" s="135"/>
      <c r="BA75" s="135"/>
      <c r="BB75" s="135"/>
      <c r="BC75" s="135"/>
      <c r="BD75" s="135"/>
      <c r="BE75" s="135"/>
      <c r="BF75" s="135"/>
      <c r="BG75" s="135"/>
      <c r="BH75" s="135"/>
      <c r="BI75" s="135"/>
    </row>
    <row r="76" spans="1:61">
      <c r="A76" s="135"/>
      <c r="B76" s="135"/>
      <c r="C76" s="135"/>
      <c r="D76" s="135"/>
      <c r="E76" s="135"/>
      <c r="F76" s="135"/>
      <c r="G76" s="135"/>
      <c r="H76" s="135"/>
      <c r="I76" s="135"/>
      <c r="J76" s="135"/>
      <c r="K76" s="135"/>
      <c r="L76" s="135"/>
      <c r="M76" s="135"/>
      <c r="N76" s="135"/>
      <c r="O76" s="135"/>
      <c r="P76" s="135"/>
      <c r="Q76" s="135"/>
      <c r="R76" s="135"/>
      <c r="S76" s="135"/>
      <c r="T76" s="135"/>
      <c r="U76" s="135"/>
      <c r="V76" s="135"/>
      <c r="W76" s="135"/>
      <c r="X76" s="135"/>
      <c r="Y76" s="135"/>
      <c r="Z76" s="135"/>
      <c r="AA76" s="135"/>
      <c r="AB76" s="135"/>
      <c r="AC76" s="135"/>
      <c r="AD76" s="135"/>
      <c r="AE76" s="135"/>
      <c r="AF76" s="135"/>
      <c r="AG76" s="135"/>
      <c r="AH76" s="135"/>
      <c r="AI76" s="135"/>
      <c r="AJ76" s="135"/>
      <c r="AK76" s="135"/>
      <c r="AL76" s="135"/>
      <c r="AM76" s="135"/>
      <c r="AN76" s="135"/>
      <c r="AO76" s="135"/>
      <c r="AP76" s="135"/>
      <c r="AQ76" s="135"/>
      <c r="AR76" s="135"/>
      <c r="AS76" s="135"/>
      <c r="AT76" s="135"/>
      <c r="AU76" s="135"/>
      <c r="AV76" s="135"/>
      <c r="AW76" s="135"/>
      <c r="AX76" s="135"/>
      <c r="AY76" s="135"/>
      <c r="AZ76" s="135"/>
      <c r="BA76" s="135"/>
      <c r="BB76" s="135"/>
      <c r="BC76" s="135"/>
      <c r="BD76" s="135"/>
      <c r="BE76" s="135"/>
      <c r="BF76" s="135"/>
      <c r="BG76" s="135"/>
      <c r="BH76" s="135"/>
      <c r="BI76" s="135"/>
    </row>
    <row r="77" spans="1:61">
      <c r="A77" s="135"/>
      <c r="B77" s="135"/>
      <c r="C77" s="135"/>
      <c r="D77" s="135"/>
      <c r="E77" s="135"/>
      <c r="F77" s="135"/>
      <c r="G77" s="135"/>
      <c r="H77" s="135"/>
      <c r="I77" s="135"/>
      <c r="J77" s="135"/>
      <c r="K77" s="135"/>
      <c r="L77" s="135"/>
      <c r="M77" s="135"/>
      <c r="N77" s="135"/>
      <c r="O77" s="135"/>
      <c r="P77" s="135"/>
      <c r="Q77" s="135"/>
      <c r="R77" s="135"/>
      <c r="S77" s="135"/>
      <c r="T77" s="135"/>
      <c r="U77" s="135"/>
      <c r="V77" s="135"/>
      <c r="W77" s="135"/>
      <c r="X77" s="135"/>
      <c r="Y77" s="135"/>
      <c r="Z77" s="135"/>
      <c r="AA77" s="135"/>
      <c r="AB77" s="135"/>
      <c r="AC77" s="135"/>
      <c r="AD77" s="135"/>
      <c r="AE77" s="135"/>
      <c r="AF77" s="135"/>
      <c r="AG77" s="135"/>
      <c r="AH77" s="135"/>
      <c r="AI77" s="135"/>
      <c r="AJ77" s="135"/>
      <c r="AK77" s="135"/>
      <c r="AL77" s="135"/>
      <c r="AM77" s="135"/>
      <c r="AN77" s="135"/>
      <c r="AO77" s="135"/>
      <c r="AP77" s="135"/>
      <c r="AQ77" s="135"/>
      <c r="AR77" s="135"/>
      <c r="AS77" s="135"/>
      <c r="AT77" s="135"/>
      <c r="AU77" s="135"/>
      <c r="AV77" s="135"/>
      <c r="AW77" s="135"/>
      <c r="AX77" s="135"/>
      <c r="AY77" s="135"/>
      <c r="AZ77" s="135"/>
      <c r="BA77" s="135"/>
      <c r="BB77" s="135"/>
      <c r="BC77" s="135"/>
      <c r="BD77" s="135"/>
      <c r="BE77" s="135"/>
      <c r="BF77" s="135"/>
      <c r="BG77" s="135"/>
      <c r="BH77" s="135"/>
      <c r="BI77" s="135"/>
    </row>
    <row r="78" spans="1:61">
      <c r="A78" s="135"/>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c r="Z78" s="135"/>
      <c r="AA78" s="135"/>
      <c r="AB78" s="135"/>
      <c r="AC78" s="135"/>
      <c r="AD78" s="135"/>
      <c r="AE78" s="135"/>
      <c r="AF78" s="135"/>
      <c r="AG78" s="135"/>
      <c r="AH78" s="135"/>
      <c r="AI78" s="135"/>
      <c r="AJ78" s="135"/>
      <c r="AK78" s="135"/>
      <c r="AL78" s="135"/>
      <c r="AM78" s="135"/>
      <c r="AN78" s="135"/>
      <c r="AO78" s="135"/>
      <c r="AP78" s="135"/>
      <c r="AQ78" s="135"/>
      <c r="AR78" s="135"/>
      <c r="AS78" s="135"/>
      <c r="AT78" s="135"/>
      <c r="AU78" s="135"/>
      <c r="AV78" s="135"/>
      <c r="AW78" s="135"/>
      <c r="AX78" s="135"/>
      <c r="AY78" s="135"/>
      <c r="AZ78" s="135"/>
      <c r="BA78" s="135"/>
      <c r="BB78" s="135"/>
      <c r="BC78" s="135"/>
      <c r="BD78" s="135"/>
      <c r="BE78" s="135"/>
      <c r="BF78" s="135"/>
      <c r="BG78" s="135"/>
      <c r="BH78" s="135"/>
      <c r="BI78" s="135"/>
    </row>
    <row r="79" spans="1:61">
      <c r="A79" s="135"/>
      <c r="B79" s="135"/>
      <c r="C79" s="135"/>
      <c r="D79" s="135"/>
      <c r="E79" s="135"/>
      <c r="F79" s="135"/>
      <c r="G79" s="135"/>
      <c r="H79" s="135"/>
      <c r="I79" s="135"/>
      <c r="J79" s="135"/>
      <c r="K79" s="135"/>
      <c r="L79" s="135"/>
      <c r="M79" s="135"/>
      <c r="N79" s="135"/>
      <c r="O79" s="135"/>
      <c r="P79" s="135"/>
      <c r="Q79" s="135"/>
      <c r="R79" s="135"/>
      <c r="S79" s="135"/>
      <c r="T79" s="135"/>
      <c r="U79" s="135"/>
      <c r="V79" s="135"/>
      <c r="W79" s="135"/>
      <c r="X79" s="135"/>
      <c r="Y79" s="135"/>
      <c r="Z79" s="135"/>
      <c r="AA79" s="135"/>
      <c r="AB79" s="135"/>
      <c r="AC79" s="135"/>
      <c r="AD79" s="135"/>
      <c r="AE79" s="135"/>
      <c r="AF79" s="135"/>
      <c r="AG79" s="135"/>
      <c r="AH79" s="135"/>
      <c r="AI79" s="135"/>
      <c r="AJ79" s="135"/>
      <c r="AK79" s="135"/>
      <c r="AL79" s="135"/>
      <c r="AM79" s="135"/>
      <c r="AN79" s="135"/>
      <c r="AO79" s="135"/>
      <c r="AP79" s="135"/>
      <c r="AQ79" s="135"/>
      <c r="AR79" s="135"/>
      <c r="AS79" s="135"/>
      <c r="AT79" s="135"/>
      <c r="AU79" s="135"/>
      <c r="AV79" s="135"/>
      <c r="AW79" s="135"/>
      <c r="AX79" s="135"/>
      <c r="AY79" s="135"/>
      <c r="AZ79" s="135"/>
      <c r="BA79" s="135"/>
      <c r="BB79" s="135"/>
      <c r="BC79" s="135"/>
      <c r="BD79" s="135"/>
      <c r="BE79" s="135"/>
      <c r="BF79" s="135"/>
      <c r="BG79" s="135"/>
      <c r="BH79" s="135"/>
      <c r="BI79" s="135"/>
    </row>
    <row r="80" spans="1:61">
      <c r="A80" s="135"/>
      <c r="B80" s="135"/>
      <c r="C80" s="135"/>
      <c r="D80" s="135"/>
      <c r="E80" s="135"/>
      <c r="F80" s="135"/>
      <c r="G80" s="135"/>
      <c r="H80" s="135"/>
      <c r="I80" s="135"/>
      <c r="J80" s="135"/>
      <c r="K80" s="135"/>
      <c r="L80" s="135"/>
      <c r="M80" s="135"/>
      <c r="N80" s="135"/>
      <c r="O80" s="135"/>
      <c r="P80" s="135"/>
      <c r="Q80" s="135"/>
      <c r="R80" s="135"/>
      <c r="S80" s="135"/>
      <c r="T80" s="135"/>
      <c r="U80" s="135"/>
      <c r="V80" s="135"/>
      <c r="W80" s="135"/>
      <c r="X80" s="135"/>
      <c r="Y80" s="135"/>
      <c r="Z80" s="135"/>
      <c r="AA80" s="135"/>
      <c r="AB80" s="135"/>
      <c r="AC80" s="135"/>
      <c r="AD80" s="135"/>
      <c r="AE80" s="135"/>
      <c r="AF80" s="135"/>
      <c r="AG80" s="135"/>
      <c r="AH80" s="135"/>
      <c r="AI80" s="135"/>
      <c r="AJ80" s="135"/>
      <c r="AK80" s="135"/>
      <c r="AL80" s="135"/>
      <c r="AM80" s="135"/>
      <c r="AN80" s="135"/>
      <c r="AO80" s="135"/>
      <c r="AP80" s="135"/>
      <c r="AQ80" s="135"/>
      <c r="AR80" s="135"/>
      <c r="AS80" s="135"/>
      <c r="AT80" s="135"/>
      <c r="AU80" s="135"/>
      <c r="AV80" s="135"/>
      <c r="AW80" s="135"/>
      <c r="AX80" s="135"/>
      <c r="AY80" s="135"/>
      <c r="AZ80" s="135"/>
      <c r="BA80" s="135"/>
      <c r="BB80" s="135"/>
      <c r="BC80" s="135"/>
      <c r="BD80" s="135"/>
      <c r="BE80" s="135"/>
      <c r="BF80" s="135"/>
      <c r="BG80" s="135"/>
      <c r="BH80" s="135"/>
      <c r="BI80" s="135"/>
    </row>
    <row r="81" spans="1:61">
      <c r="A81" s="135"/>
      <c r="B81" s="135"/>
      <c r="C81" s="135"/>
      <c r="D81" s="135"/>
      <c r="E81" s="135"/>
      <c r="F81" s="135"/>
      <c r="G81" s="135"/>
      <c r="H81" s="135"/>
      <c r="I81" s="135"/>
      <c r="J81" s="135"/>
      <c r="K81" s="135"/>
      <c r="L81" s="135"/>
      <c r="M81" s="135"/>
      <c r="N81" s="135"/>
      <c r="O81" s="135"/>
      <c r="P81" s="135"/>
      <c r="Q81" s="135"/>
      <c r="R81" s="135"/>
      <c r="S81" s="135"/>
      <c r="T81" s="135"/>
      <c r="U81" s="135"/>
      <c r="V81" s="135"/>
      <c r="W81" s="135"/>
      <c r="X81" s="135"/>
      <c r="Y81" s="135"/>
      <c r="Z81" s="135"/>
      <c r="AA81" s="135"/>
      <c r="AB81" s="135"/>
      <c r="AC81" s="135"/>
      <c r="AD81" s="135"/>
      <c r="AE81" s="135"/>
      <c r="AF81" s="135"/>
      <c r="AG81" s="135"/>
      <c r="AH81" s="135"/>
      <c r="AI81" s="135"/>
      <c r="AJ81" s="135"/>
      <c r="AK81" s="135"/>
      <c r="AL81" s="135"/>
      <c r="AM81" s="135"/>
      <c r="AN81" s="135"/>
      <c r="AO81" s="135"/>
      <c r="AP81" s="135"/>
      <c r="AQ81" s="135"/>
      <c r="AR81" s="135"/>
      <c r="AS81" s="135"/>
      <c r="AT81" s="135"/>
      <c r="AU81" s="135"/>
      <c r="AV81" s="135"/>
      <c r="AW81" s="135"/>
      <c r="AX81" s="135"/>
      <c r="AY81" s="135"/>
      <c r="AZ81" s="135"/>
      <c r="BA81" s="135"/>
      <c r="BB81" s="135"/>
      <c r="BC81" s="135"/>
      <c r="BD81" s="135"/>
      <c r="BE81" s="135"/>
      <c r="BF81" s="135"/>
      <c r="BG81" s="135"/>
      <c r="BH81" s="135"/>
      <c r="BI81" s="135"/>
    </row>
    <row r="82" spans="1:61">
      <c r="A82" s="135"/>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c r="Z82" s="135"/>
      <c r="AA82" s="135"/>
      <c r="AB82" s="135"/>
      <c r="AC82" s="135"/>
      <c r="AD82" s="135"/>
      <c r="AE82" s="135"/>
      <c r="AF82" s="135"/>
      <c r="AG82" s="135"/>
      <c r="AH82" s="135"/>
      <c r="AI82" s="135"/>
      <c r="AJ82" s="135"/>
      <c r="AK82" s="135"/>
      <c r="AL82" s="135"/>
      <c r="AM82" s="135"/>
      <c r="AN82" s="135"/>
      <c r="AO82" s="135"/>
      <c r="AP82" s="135"/>
      <c r="AQ82" s="135"/>
      <c r="AR82" s="135"/>
      <c r="AS82" s="135"/>
      <c r="AT82" s="135"/>
      <c r="AU82" s="135"/>
      <c r="AV82" s="135"/>
      <c r="AW82" s="135"/>
      <c r="AX82" s="135"/>
      <c r="AY82" s="135"/>
      <c r="AZ82" s="135"/>
      <c r="BA82" s="135"/>
      <c r="BB82" s="135"/>
      <c r="BC82" s="135"/>
      <c r="BD82" s="135"/>
      <c r="BE82" s="135"/>
      <c r="BF82" s="135"/>
      <c r="BG82" s="135"/>
      <c r="BH82" s="135"/>
      <c r="BI82" s="135"/>
    </row>
    <row r="83" spans="1:61">
      <c r="A83" s="135"/>
      <c r="B83" s="135"/>
      <c r="C83" s="135"/>
      <c r="D83" s="135"/>
      <c r="E83" s="135"/>
      <c r="F83" s="135"/>
      <c r="G83" s="135"/>
      <c r="H83" s="135"/>
      <c r="I83" s="135"/>
      <c r="J83" s="135"/>
      <c r="K83" s="135"/>
      <c r="L83" s="135"/>
      <c r="M83" s="135"/>
      <c r="N83" s="135"/>
      <c r="O83" s="135"/>
      <c r="P83" s="135"/>
      <c r="Q83" s="135"/>
      <c r="R83" s="135"/>
      <c r="S83" s="135"/>
      <c r="T83" s="135"/>
      <c r="U83" s="135"/>
      <c r="V83" s="135"/>
      <c r="W83" s="135"/>
      <c r="X83" s="135"/>
      <c r="Y83" s="135"/>
      <c r="Z83" s="135"/>
      <c r="AA83" s="135"/>
      <c r="AB83" s="135"/>
      <c r="AC83" s="135"/>
      <c r="AD83" s="135"/>
      <c r="AE83" s="135"/>
      <c r="AF83" s="135"/>
      <c r="AG83" s="135"/>
      <c r="AH83" s="135"/>
      <c r="AI83" s="135"/>
      <c r="AJ83" s="135"/>
      <c r="AK83" s="135"/>
      <c r="AL83" s="135"/>
      <c r="AM83" s="135"/>
      <c r="AN83" s="135"/>
      <c r="AO83" s="135"/>
      <c r="AP83" s="135"/>
      <c r="AQ83" s="135"/>
      <c r="AR83" s="135"/>
      <c r="AS83" s="135"/>
      <c r="AT83" s="135"/>
      <c r="AU83" s="135"/>
      <c r="AV83" s="135"/>
      <c r="AW83" s="135"/>
      <c r="AX83" s="135"/>
      <c r="AY83" s="135"/>
      <c r="AZ83" s="135"/>
      <c r="BA83" s="135"/>
      <c r="BB83" s="135"/>
      <c r="BC83" s="135"/>
      <c r="BD83" s="135"/>
      <c r="BE83" s="135"/>
      <c r="BF83" s="135"/>
      <c r="BG83" s="135"/>
      <c r="BH83" s="135"/>
      <c r="BI83" s="135"/>
    </row>
    <row r="84" spans="1:61">
      <c r="A84" s="135"/>
      <c r="B84" s="135"/>
      <c r="C84" s="135"/>
      <c r="D84" s="135"/>
      <c r="E84" s="135"/>
      <c r="F84" s="135"/>
      <c r="G84" s="135"/>
      <c r="H84" s="135"/>
      <c r="I84" s="135"/>
      <c r="J84" s="135"/>
      <c r="K84" s="135"/>
      <c r="L84" s="135"/>
      <c r="M84" s="135"/>
      <c r="N84" s="135"/>
      <c r="O84" s="135"/>
      <c r="P84" s="135"/>
      <c r="Q84" s="135"/>
      <c r="R84" s="135"/>
      <c r="S84" s="135"/>
      <c r="T84" s="135"/>
      <c r="U84" s="135"/>
      <c r="V84" s="135"/>
      <c r="W84" s="135"/>
      <c r="X84" s="135"/>
      <c r="Y84" s="135"/>
      <c r="Z84" s="135"/>
      <c r="AA84" s="135"/>
      <c r="AB84" s="135"/>
      <c r="AC84" s="135"/>
      <c r="AD84" s="135"/>
      <c r="AE84" s="135"/>
      <c r="AF84" s="135"/>
      <c r="AG84" s="135"/>
      <c r="AH84" s="135"/>
      <c r="AI84" s="135"/>
      <c r="AJ84" s="135"/>
      <c r="AK84" s="135"/>
      <c r="AL84" s="135"/>
      <c r="AM84" s="135"/>
      <c r="AN84" s="135"/>
      <c r="AO84" s="135"/>
      <c r="AP84" s="135"/>
      <c r="AQ84" s="135"/>
      <c r="AR84" s="135"/>
      <c r="AS84" s="135"/>
      <c r="AT84" s="135"/>
      <c r="AU84" s="135"/>
      <c r="AV84" s="135"/>
      <c r="AW84" s="135"/>
      <c r="AX84" s="135"/>
      <c r="AY84" s="135"/>
      <c r="AZ84" s="135"/>
      <c r="BA84" s="135"/>
      <c r="BB84" s="135"/>
      <c r="BC84" s="135"/>
      <c r="BD84" s="135"/>
      <c r="BE84" s="135"/>
      <c r="BF84" s="135"/>
      <c r="BG84" s="135"/>
      <c r="BH84" s="135"/>
      <c r="BI84" s="135"/>
    </row>
    <row r="85" spans="1:61">
      <c r="A85" s="135"/>
      <c r="B85" s="135"/>
      <c r="C85" s="135"/>
      <c r="D85" s="135"/>
      <c r="E85" s="135"/>
      <c r="F85" s="135"/>
      <c r="G85" s="135"/>
      <c r="H85" s="135"/>
      <c r="I85" s="135"/>
      <c r="J85" s="135"/>
      <c r="K85" s="135"/>
      <c r="L85" s="135"/>
      <c r="M85" s="135"/>
      <c r="N85" s="135"/>
      <c r="O85" s="135"/>
      <c r="P85" s="135"/>
      <c r="Q85" s="135"/>
      <c r="R85" s="135"/>
      <c r="S85" s="135"/>
      <c r="T85" s="135"/>
      <c r="U85" s="135"/>
      <c r="V85" s="135"/>
      <c r="W85" s="135"/>
      <c r="X85" s="135"/>
      <c r="Y85" s="135"/>
      <c r="Z85" s="135"/>
      <c r="AA85" s="135"/>
      <c r="AB85" s="135"/>
      <c r="AC85" s="135"/>
      <c r="AD85" s="135"/>
      <c r="AE85" s="135"/>
      <c r="AF85" s="135"/>
      <c r="AG85" s="135"/>
      <c r="AH85" s="135"/>
      <c r="AI85" s="135"/>
      <c r="AJ85" s="135"/>
      <c r="AK85" s="135"/>
      <c r="AL85" s="135"/>
      <c r="AM85" s="135"/>
      <c r="AN85" s="135"/>
      <c r="AO85" s="135"/>
      <c r="AP85" s="135"/>
      <c r="AQ85" s="135"/>
      <c r="AR85" s="135"/>
      <c r="AS85" s="135"/>
      <c r="AT85" s="135"/>
      <c r="AU85" s="135"/>
      <c r="AV85" s="135"/>
      <c r="AW85" s="135"/>
      <c r="AX85" s="135"/>
      <c r="AY85" s="135"/>
      <c r="AZ85" s="135"/>
      <c r="BA85" s="135"/>
      <c r="BB85" s="135"/>
      <c r="BC85" s="135"/>
      <c r="BD85" s="135"/>
      <c r="BE85" s="135"/>
      <c r="BF85" s="135"/>
      <c r="BG85" s="135"/>
      <c r="BH85" s="135"/>
      <c r="BI85" s="135"/>
    </row>
    <row r="86" spans="1:61">
      <c r="A86" s="135"/>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c r="Z86" s="135"/>
      <c r="AA86" s="135"/>
      <c r="AB86" s="135"/>
      <c r="AC86" s="135"/>
      <c r="AD86" s="135"/>
      <c r="AE86" s="135"/>
      <c r="AF86" s="135"/>
      <c r="AG86" s="135"/>
      <c r="AH86" s="135"/>
      <c r="AI86" s="135"/>
      <c r="AJ86" s="135"/>
      <c r="AK86" s="135"/>
      <c r="AL86" s="135"/>
      <c r="AM86" s="135"/>
      <c r="AN86" s="135"/>
      <c r="AO86" s="135"/>
      <c r="AP86" s="135"/>
      <c r="AQ86" s="135"/>
      <c r="AR86" s="135"/>
      <c r="AS86" s="135"/>
      <c r="AT86" s="135"/>
      <c r="AU86" s="135"/>
      <c r="AV86" s="135"/>
      <c r="AW86" s="135"/>
      <c r="AX86" s="135"/>
      <c r="AY86" s="135"/>
      <c r="AZ86" s="135"/>
      <c r="BA86" s="135"/>
      <c r="BB86" s="135"/>
      <c r="BC86" s="135"/>
      <c r="BD86" s="135"/>
      <c r="BE86" s="135"/>
      <c r="BF86" s="135"/>
      <c r="BG86" s="135"/>
      <c r="BH86" s="135"/>
      <c r="BI86" s="135"/>
    </row>
    <row r="87" spans="1:61">
      <c r="A87" s="135"/>
      <c r="B87" s="135"/>
      <c r="C87" s="135"/>
      <c r="D87" s="135"/>
      <c r="E87" s="135"/>
      <c r="F87" s="135"/>
      <c r="G87" s="135"/>
      <c r="H87" s="135"/>
      <c r="I87" s="135"/>
      <c r="J87" s="135"/>
      <c r="K87" s="135"/>
      <c r="L87" s="135"/>
      <c r="M87" s="135"/>
      <c r="N87" s="135"/>
      <c r="O87" s="135"/>
      <c r="P87" s="135"/>
      <c r="Q87" s="135"/>
      <c r="R87" s="135"/>
      <c r="S87" s="135"/>
      <c r="T87" s="135"/>
      <c r="U87" s="135"/>
      <c r="V87" s="135"/>
      <c r="W87" s="135"/>
      <c r="X87" s="135"/>
      <c r="Y87" s="135"/>
      <c r="Z87" s="135"/>
      <c r="AA87" s="135"/>
      <c r="AB87" s="135"/>
      <c r="AC87" s="135"/>
      <c r="AD87" s="135"/>
      <c r="AE87" s="135"/>
      <c r="AF87" s="135"/>
      <c r="AG87" s="135"/>
      <c r="AH87" s="135"/>
      <c r="AI87" s="135"/>
      <c r="AJ87" s="135"/>
      <c r="AK87" s="135"/>
      <c r="AL87" s="135"/>
      <c r="AM87" s="135"/>
      <c r="AN87" s="135"/>
      <c r="AO87" s="135"/>
      <c r="AP87" s="135"/>
      <c r="AQ87" s="135"/>
      <c r="AR87" s="135"/>
      <c r="AS87" s="135"/>
      <c r="AT87" s="135"/>
      <c r="AU87" s="135"/>
      <c r="AV87" s="135"/>
      <c r="AW87" s="135"/>
      <c r="AX87" s="135"/>
      <c r="AY87" s="135"/>
      <c r="AZ87" s="135"/>
      <c r="BA87" s="135"/>
      <c r="BB87" s="135"/>
      <c r="BC87" s="135"/>
      <c r="BD87" s="135"/>
      <c r="BE87" s="135"/>
      <c r="BF87" s="135"/>
      <c r="BG87" s="135"/>
      <c r="BH87" s="135"/>
      <c r="BI87" s="135"/>
    </row>
    <row r="88" spans="1:61">
      <c r="A88" s="135"/>
      <c r="B88" s="135"/>
      <c r="C88" s="135"/>
      <c r="D88" s="135"/>
      <c r="E88" s="135"/>
      <c r="F88" s="135"/>
      <c r="G88" s="135"/>
      <c r="H88" s="135"/>
      <c r="I88" s="135"/>
      <c r="J88" s="135"/>
      <c r="K88" s="135"/>
      <c r="L88" s="135"/>
      <c r="M88" s="135"/>
      <c r="N88" s="135"/>
      <c r="O88" s="135"/>
      <c r="P88" s="135"/>
      <c r="Q88" s="135"/>
      <c r="R88" s="135"/>
      <c r="S88" s="135"/>
      <c r="T88" s="135"/>
      <c r="U88" s="135"/>
      <c r="V88" s="135"/>
      <c r="W88" s="135"/>
      <c r="X88" s="135"/>
      <c r="Y88" s="135"/>
      <c r="Z88" s="135"/>
      <c r="AA88" s="135"/>
      <c r="AB88" s="135"/>
      <c r="AC88" s="135"/>
      <c r="AD88" s="135"/>
      <c r="AE88" s="135"/>
      <c r="AF88" s="135"/>
      <c r="AG88" s="135"/>
      <c r="AH88" s="135"/>
      <c r="AI88" s="135"/>
      <c r="AJ88" s="135"/>
      <c r="AK88" s="135"/>
      <c r="AL88" s="135"/>
      <c r="AM88" s="135"/>
      <c r="AN88" s="135"/>
      <c r="AO88" s="135"/>
      <c r="AP88" s="135"/>
      <c r="AQ88" s="135"/>
      <c r="AR88" s="135"/>
      <c r="AS88" s="135"/>
      <c r="AT88" s="135"/>
      <c r="AU88" s="135"/>
      <c r="AV88" s="135"/>
      <c r="AW88" s="135"/>
      <c r="AX88" s="135"/>
      <c r="AY88" s="135"/>
      <c r="AZ88" s="135"/>
      <c r="BA88" s="135"/>
      <c r="BB88" s="135"/>
      <c r="BC88" s="135"/>
      <c r="BD88" s="135"/>
      <c r="BE88" s="135"/>
      <c r="BF88" s="135"/>
      <c r="BG88" s="135"/>
      <c r="BH88" s="135"/>
      <c r="BI88" s="135"/>
    </row>
    <row r="89" spans="1:61">
      <c r="W89" s="135"/>
      <c r="X89" s="135"/>
      <c r="Y89" s="135"/>
      <c r="Z89" s="135"/>
      <c r="AA89" s="135"/>
      <c r="AB89" s="135"/>
      <c r="AC89" s="135"/>
      <c r="AD89" s="135"/>
      <c r="AE89" s="135"/>
      <c r="AF89" s="135"/>
      <c r="AG89" s="135"/>
      <c r="AH89" s="135"/>
      <c r="AI89" s="135"/>
      <c r="AJ89" s="135"/>
      <c r="AK89" s="135"/>
      <c r="AL89" s="135"/>
      <c r="AM89" s="135"/>
      <c r="AN89" s="135"/>
      <c r="AO89" s="135"/>
      <c r="AP89" s="135"/>
      <c r="AQ89" s="135"/>
      <c r="AR89" s="135"/>
      <c r="AS89" s="135"/>
      <c r="AT89" s="135"/>
      <c r="AU89" s="135"/>
      <c r="AV89" s="135"/>
      <c r="AW89" s="135"/>
      <c r="AX89" s="135"/>
      <c r="AY89" s="135"/>
      <c r="AZ89" s="135"/>
      <c r="BA89" s="135"/>
      <c r="BB89" s="135"/>
      <c r="BC89" s="135"/>
      <c r="BD89" s="135"/>
      <c r="BE89" s="135"/>
      <c r="BF89" s="135"/>
      <c r="BG89" s="135"/>
      <c r="BH89" s="135"/>
      <c r="BI89" s="135"/>
    </row>
    <row r="90" spans="1:61">
      <c r="W90" s="135"/>
      <c r="X90" s="135"/>
      <c r="Y90" s="135"/>
      <c r="Z90" s="135"/>
      <c r="AA90" s="135"/>
      <c r="AB90" s="135"/>
      <c r="AC90" s="135"/>
      <c r="AD90" s="135"/>
      <c r="AE90" s="135"/>
      <c r="AF90" s="135"/>
      <c r="AG90" s="135"/>
      <c r="AH90" s="135"/>
      <c r="AI90" s="135"/>
      <c r="AJ90" s="135"/>
      <c r="AK90" s="135"/>
      <c r="AL90" s="135"/>
      <c r="AM90" s="135"/>
      <c r="AN90" s="135"/>
      <c r="AO90" s="135"/>
      <c r="AP90" s="135"/>
      <c r="AQ90" s="135"/>
      <c r="AR90" s="135"/>
      <c r="AS90" s="135"/>
      <c r="AT90" s="135"/>
      <c r="AU90" s="135"/>
      <c r="AV90" s="135"/>
      <c r="AW90" s="135"/>
      <c r="AX90" s="135"/>
      <c r="AY90" s="135"/>
      <c r="AZ90" s="135"/>
      <c r="BA90" s="135"/>
      <c r="BB90" s="135"/>
      <c r="BC90" s="135"/>
      <c r="BD90" s="135"/>
      <c r="BE90" s="135"/>
      <c r="BF90" s="135"/>
      <c r="BG90" s="135"/>
      <c r="BH90" s="135"/>
      <c r="BI90" s="135"/>
    </row>
    <row r="91" spans="1:61">
      <c r="W91" s="135"/>
      <c r="X91" s="135"/>
      <c r="Y91" s="135"/>
      <c r="Z91" s="135"/>
      <c r="AA91" s="135"/>
      <c r="AB91" s="135"/>
      <c r="AC91" s="135"/>
      <c r="AD91" s="135"/>
      <c r="AE91" s="135"/>
      <c r="AF91" s="135"/>
      <c r="AG91" s="135"/>
      <c r="AH91" s="135"/>
      <c r="AI91" s="135"/>
      <c r="AJ91" s="135"/>
      <c r="AK91" s="135"/>
      <c r="AL91" s="135"/>
      <c r="AM91" s="135"/>
      <c r="AN91" s="135"/>
      <c r="AO91" s="135"/>
      <c r="AP91" s="135"/>
      <c r="AQ91" s="135"/>
      <c r="AR91" s="135"/>
      <c r="AS91" s="135"/>
      <c r="AT91" s="135"/>
      <c r="AU91" s="135"/>
      <c r="AV91" s="135"/>
      <c r="AW91" s="135"/>
      <c r="AX91" s="135"/>
      <c r="AY91" s="135"/>
      <c r="AZ91" s="135"/>
      <c r="BA91" s="135"/>
      <c r="BB91" s="135"/>
      <c r="BC91" s="135"/>
      <c r="BD91" s="135"/>
      <c r="BE91" s="135"/>
      <c r="BF91" s="135"/>
      <c r="BG91" s="135"/>
      <c r="BH91" s="135"/>
      <c r="BI91" s="135"/>
    </row>
    <row r="92" spans="1:61">
      <c r="W92" s="135"/>
      <c r="X92" s="135"/>
      <c r="Y92" s="135"/>
      <c r="Z92" s="135"/>
      <c r="AA92" s="135"/>
      <c r="AB92" s="135"/>
      <c r="AC92" s="135"/>
      <c r="AD92" s="135"/>
      <c r="AE92" s="135"/>
      <c r="AF92" s="135"/>
      <c r="AG92" s="135"/>
      <c r="AH92" s="135"/>
      <c r="AI92" s="135"/>
      <c r="AJ92" s="135"/>
      <c r="AK92" s="135"/>
      <c r="AL92" s="135"/>
      <c r="AM92" s="135"/>
      <c r="AN92" s="135"/>
      <c r="AO92" s="135"/>
      <c r="AP92" s="135"/>
      <c r="AQ92" s="135"/>
      <c r="AR92" s="135"/>
      <c r="AS92" s="135"/>
      <c r="AT92" s="135"/>
      <c r="AU92" s="135"/>
      <c r="AV92" s="135"/>
      <c r="AW92" s="135"/>
      <c r="AX92" s="135"/>
      <c r="AY92" s="135"/>
      <c r="AZ92" s="135"/>
      <c r="BA92" s="135"/>
      <c r="BB92" s="135"/>
      <c r="BC92" s="135"/>
      <c r="BD92" s="135"/>
      <c r="BE92" s="135"/>
      <c r="BF92" s="135"/>
      <c r="BG92" s="135"/>
      <c r="BH92" s="135"/>
      <c r="BI92" s="135"/>
    </row>
    <row r="93" spans="1:61">
      <c r="W93" s="135"/>
      <c r="X93" s="135"/>
      <c r="Y93" s="135"/>
      <c r="Z93" s="135"/>
      <c r="AA93" s="135"/>
      <c r="AB93" s="135"/>
      <c r="AC93" s="135"/>
      <c r="AD93" s="135"/>
      <c r="AE93" s="135"/>
      <c r="AF93" s="135"/>
      <c r="AG93" s="135"/>
      <c r="AH93" s="135"/>
      <c r="AI93" s="135"/>
      <c r="AJ93" s="135"/>
      <c r="AK93" s="135"/>
      <c r="AL93" s="135"/>
      <c r="AM93" s="135"/>
      <c r="AN93" s="135"/>
      <c r="AO93" s="135"/>
      <c r="AP93" s="135"/>
      <c r="AQ93" s="135"/>
      <c r="AR93" s="135"/>
      <c r="AS93" s="135"/>
      <c r="AT93" s="135"/>
      <c r="AU93" s="135"/>
      <c r="AV93" s="135"/>
      <c r="AW93" s="135"/>
      <c r="AX93" s="135"/>
      <c r="AY93" s="135"/>
      <c r="AZ93" s="135"/>
      <c r="BA93" s="135"/>
      <c r="BB93" s="135"/>
      <c r="BC93" s="135"/>
      <c r="BD93" s="135"/>
      <c r="BE93" s="135"/>
      <c r="BF93" s="135"/>
      <c r="BG93" s="135"/>
      <c r="BH93" s="135"/>
      <c r="BI93" s="135"/>
    </row>
    <row r="94" spans="1:61">
      <c r="W94" s="135"/>
      <c r="X94" s="135"/>
      <c r="Y94" s="135"/>
      <c r="Z94" s="135"/>
      <c r="AA94" s="135"/>
      <c r="AB94" s="135"/>
      <c r="AC94" s="135"/>
      <c r="AD94" s="135"/>
      <c r="AE94" s="135"/>
      <c r="AF94" s="135"/>
      <c r="AG94" s="135"/>
      <c r="AH94" s="135"/>
      <c r="AI94" s="135"/>
      <c r="AJ94" s="135"/>
      <c r="AK94" s="135"/>
      <c r="AL94" s="135"/>
      <c r="AM94" s="135"/>
      <c r="AN94" s="135"/>
      <c r="AO94" s="135"/>
      <c r="AP94" s="135"/>
      <c r="AQ94" s="135"/>
      <c r="AR94" s="135"/>
      <c r="AS94" s="135"/>
      <c r="AT94" s="135"/>
      <c r="AU94" s="135"/>
      <c r="AV94" s="135"/>
      <c r="AW94" s="135"/>
      <c r="AX94" s="135"/>
      <c r="AY94" s="135"/>
      <c r="AZ94" s="135"/>
      <c r="BA94" s="135"/>
      <c r="BB94" s="135"/>
      <c r="BC94" s="135"/>
      <c r="BD94" s="135"/>
      <c r="BE94" s="135"/>
      <c r="BF94" s="135"/>
      <c r="BG94" s="135"/>
      <c r="BH94" s="135"/>
      <c r="BI94" s="135"/>
    </row>
    <row r="95" spans="1:61">
      <c r="W95" s="135"/>
      <c r="X95" s="135"/>
      <c r="Y95" s="135"/>
      <c r="Z95" s="135"/>
      <c r="AA95" s="135"/>
      <c r="AB95" s="135"/>
      <c r="AC95" s="135"/>
      <c r="AD95" s="135"/>
      <c r="AE95" s="135"/>
      <c r="AF95" s="135"/>
      <c r="AG95" s="135"/>
      <c r="AH95" s="135"/>
      <c r="AI95" s="135"/>
      <c r="AJ95" s="135"/>
      <c r="AK95" s="135"/>
      <c r="AL95" s="135"/>
      <c r="AM95" s="135"/>
      <c r="AN95" s="135"/>
      <c r="AO95" s="135"/>
      <c r="AP95" s="135"/>
      <c r="AQ95" s="135"/>
      <c r="AR95" s="135"/>
      <c r="AS95" s="135"/>
      <c r="AT95" s="135"/>
      <c r="AU95" s="135"/>
      <c r="AV95" s="135"/>
      <c r="AW95" s="135"/>
      <c r="AX95" s="135"/>
      <c r="AY95" s="135"/>
      <c r="AZ95" s="135"/>
      <c r="BA95" s="135"/>
      <c r="BB95" s="135"/>
      <c r="BC95" s="135"/>
      <c r="BD95" s="135"/>
      <c r="BE95" s="135"/>
      <c r="BF95" s="135"/>
      <c r="BG95" s="135"/>
      <c r="BH95" s="135"/>
      <c r="BI95" s="135"/>
    </row>
    <row r="96" spans="1:61">
      <c r="W96" s="135"/>
      <c r="X96" s="135"/>
      <c r="Y96" s="135"/>
      <c r="Z96" s="135"/>
      <c r="AA96" s="135"/>
      <c r="AB96" s="135"/>
      <c r="AC96" s="135"/>
      <c r="AD96" s="135"/>
      <c r="AE96" s="135"/>
      <c r="AF96" s="135"/>
      <c r="AG96" s="135"/>
      <c r="AH96" s="135"/>
      <c r="AI96" s="135"/>
      <c r="AJ96" s="135"/>
      <c r="AK96" s="135"/>
      <c r="AL96" s="135"/>
      <c r="AM96" s="135"/>
      <c r="AN96" s="135"/>
      <c r="AO96" s="135"/>
      <c r="AP96" s="135"/>
      <c r="AQ96" s="135"/>
      <c r="AR96" s="135"/>
      <c r="AS96" s="135"/>
      <c r="AT96" s="135"/>
      <c r="AU96" s="135"/>
      <c r="AV96" s="135"/>
      <c r="AW96" s="135"/>
      <c r="AX96" s="135"/>
      <c r="AY96" s="135"/>
      <c r="AZ96" s="135"/>
      <c r="BA96" s="135"/>
      <c r="BB96" s="135"/>
      <c r="BC96" s="135"/>
      <c r="BD96" s="135"/>
      <c r="BE96" s="135"/>
      <c r="BF96" s="135"/>
      <c r="BG96" s="135"/>
      <c r="BH96" s="135"/>
      <c r="BI96" s="135"/>
    </row>
    <row r="97" spans="23:61">
      <c r="W97" s="135"/>
      <c r="X97" s="135"/>
      <c r="Y97" s="135"/>
      <c r="Z97" s="135"/>
      <c r="AA97" s="135"/>
      <c r="AB97" s="135"/>
      <c r="AC97" s="135"/>
      <c r="AD97" s="135"/>
      <c r="AE97" s="135"/>
      <c r="AF97" s="135"/>
      <c r="AG97" s="135"/>
      <c r="AH97" s="135"/>
      <c r="AI97" s="135"/>
      <c r="AJ97" s="135"/>
      <c r="AK97" s="135"/>
      <c r="AL97" s="135"/>
      <c r="AM97" s="135"/>
      <c r="AN97" s="135"/>
      <c r="AO97" s="135"/>
      <c r="AP97" s="135"/>
      <c r="AQ97" s="135"/>
      <c r="AR97" s="135"/>
      <c r="AS97" s="135"/>
      <c r="AT97" s="135"/>
      <c r="AU97" s="135"/>
      <c r="AV97" s="135"/>
      <c r="AW97" s="135"/>
      <c r="AX97" s="135"/>
      <c r="AY97" s="135"/>
      <c r="AZ97" s="135"/>
      <c r="BA97" s="135"/>
      <c r="BB97" s="135"/>
      <c r="BC97" s="135"/>
      <c r="BD97" s="135"/>
      <c r="BE97" s="135"/>
      <c r="BF97" s="135"/>
      <c r="BG97" s="135"/>
      <c r="BH97" s="135"/>
      <c r="BI97" s="135"/>
    </row>
    <row r="98" spans="23:61">
      <c r="W98" s="135"/>
      <c r="X98" s="135"/>
      <c r="Y98" s="135"/>
      <c r="Z98" s="135"/>
      <c r="AA98" s="135"/>
      <c r="AB98" s="135"/>
      <c r="AC98" s="135"/>
      <c r="AD98" s="135"/>
      <c r="AE98" s="135"/>
      <c r="AF98" s="135"/>
      <c r="AG98" s="135"/>
      <c r="AH98" s="135"/>
      <c r="AI98" s="135"/>
      <c r="AJ98" s="135"/>
      <c r="AK98" s="135"/>
      <c r="AL98" s="135"/>
      <c r="AM98" s="135"/>
      <c r="AN98" s="135"/>
      <c r="AO98" s="135"/>
      <c r="AP98" s="135"/>
      <c r="AQ98" s="135"/>
      <c r="AR98" s="135"/>
      <c r="AS98" s="135"/>
      <c r="AT98" s="135"/>
      <c r="AU98" s="135"/>
      <c r="AV98" s="135"/>
      <c r="AW98" s="135"/>
      <c r="AX98" s="135"/>
      <c r="AY98" s="135"/>
      <c r="AZ98" s="135"/>
      <c r="BA98" s="135"/>
      <c r="BB98" s="135"/>
      <c r="BC98" s="135"/>
      <c r="BD98" s="135"/>
      <c r="BE98" s="135"/>
      <c r="BF98" s="135"/>
      <c r="BG98" s="135"/>
      <c r="BH98" s="135"/>
      <c r="BI98" s="135"/>
    </row>
    <row r="99" spans="23:61">
      <c r="W99" s="135"/>
      <c r="X99" s="135"/>
      <c r="Y99" s="135"/>
      <c r="Z99" s="135"/>
      <c r="AA99" s="135"/>
      <c r="AB99" s="135"/>
      <c r="AC99" s="135"/>
      <c r="AD99" s="135"/>
      <c r="AE99" s="135"/>
      <c r="AF99" s="135"/>
      <c r="AG99" s="135"/>
      <c r="AH99" s="135"/>
      <c r="AI99" s="135"/>
      <c r="AJ99" s="135"/>
      <c r="AK99" s="135"/>
      <c r="AL99" s="135"/>
      <c r="AM99" s="135"/>
      <c r="AN99" s="135"/>
      <c r="AO99" s="135"/>
      <c r="AP99" s="135"/>
      <c r="AQ99" s="135"/>
      <c r="AR99" s="135"/>
      <c r="AS99" s="135"/>
      <c r="AT99" s="135"/>
      <c r="AU99" s="135"/>
      <c r="AV99" s="135"/>
      <c r="AW99" s="135"/>
      <c r="AX99" s="135"/>
      <c r="AY99" s="135"/>
      <c r="AZ99" s="135"/>
      <c r="BA99" s="135"/>
      <c r="BB99" s="135"/>
      <c r="BC99" s="135"/>
      <c r="BD99" s="135"/>
      <c r="BE99" s="135"/>
      <c r="BF99" s="135"/>
      <c r="BG99" s="135"/>
      <c r="BH99" s="135"/>
      <c r="BI99" s="135"/>
    </row>
    <row r="100" spans="23:61">
      <c r="W100" s="135"/>
      <c r="X100" s="135"/>
      <c r="Y100" s="135"/>
      <c r="Z100" s="135"/>
      <c r="AA100" s="135"/>
      <c r="AB100" s="135"/>
      <c r="AC100" s="135"/>
      <c r="AD100" s="135"/>
      <c r="AE100" s="135"/>
      <c r="AF100" s="135"/>
      <c r="AG100" s="135"/>
      <c r="AH100" s="135"/>
      <c r="AI100" s="135"/>
      <c r="AJ100" s="135"/>
      <c r="AK100" s="135"/>
      <c r="AL100" s="135"/>
      <c r="AM100" s="135"/>
      <c r="AN100" s="135"/>
      <c r="AO100" s="135"/>
      <c r="AP100" s="135"/>
      <c r="AQ100" s="135"/>
      <c r="AR100" s="135"/>
      <c r="AS100" s="135"/>
      <c r="AT100" s="135"/>
      <c r="AU100" s="135"/>
      <c r="AV100" s="135"/>
      <c r="AW100" s="135"/>
      <c r="AX100" s="135"/>
      <c r="AY100" s="135"/>
      <c r="AZ100" s="135"/>
      <c r="BA100" s="135"/>
      <c r="BB100" s="135"/>
      <c r="BC100" s="135"/>
      <c r="BD100" s="135"/>
      <c r="BE100" s="135"/>
      <c r="BF100" s="135"/>
      <c r="BG100" s="135"/>
      <c r="BH100" s="135"/>
      <c r="BI100" s="135"/>
    </row>
    <row r="101" spans="23:61">
      <c r="W101" s="135"/>
      <c r="X101" s="135"/>
      <c r="Y101" s="135"/>
      <c r="Z101" s="135"/>
      <c r="AA101" s="135"/>
      <c r="AB101" s="135"/>
      <c r="AC101" s="135"/>
      <c r="AD101" s="135"/>
      <c r="AE101" s="135"/>
      <c r="AF101" s="135"/>
      <c r="AG101" s="135"/>
      <c r="AH101" s="135"/>
      <c r="AI101" s="135"/>
      <c r="AJ101" s="135"/>
      <c r="AK101" s="135"/>
      <c r="AL101" s="135"/>
      <c r="AM101" s="135"/>
      <c r="AN101" s="135"/>
      <c r="AO101" s="135"/>
      <c r="AP101" s="135"/>
      <c r="AQ101" s="135"/>
      <c r="AR101" s="135"/>
      <c r="AS101" s="135"/>
      <c r="AT101" s="135"/>
      <c r="AU101" s="135"/>
      <c r="AV101" s="135"/>
      <c r="AW101" s="135"/>
      <c r="AX101" s="135"/>
      <c r="AY101" s="135"/>
      <c r="AZ101" s="135"/>
      <c r="BA101" s="135"/>
      <c r="BB101" s="135"/>
      <c r="BC101" s="135"/>
      <c r="BD101" s="135"/>
      <c r="BE101" s="135"/>
      <c r="BF101" s="135"/>
      <c r="BG101" s="135"/>
      <c r="BH101" s="135"/>
      <c r="BI101" s="135"/>
    </row>
    <row r="102" spans="23:61">
      <c r="W102" s="135"/>
      <c r="X102" s="135"/>
      <c r="Y102" s="135"/>
      <c r="Z102" s="135"/>
      <c r="AA102" s="135"/>
      <c r="AB102" s="135"/>
      <c r="AC102" s="135"/>
      <c r="AD102" s="135"/>
      <c r="AE102" s="135"/>
      <c r="AF102" s="135"/>
      <c r="AG102" s="135"/>
      <c r="AH102" s="135"/>
      <c r="AI102" s="135"/>
      <c r="AJ102" s="135"/>
      <c r="AK102" s="135"/>
      <c r="AL102" s="135"/>
      <c r="AM102" s="135"/>
      <c r="AN102" s="135"/>
      <c r="AO102" s="135"/>
      <c r="AP102" s="135"/>
      <c r="AQ102" s="135"/>
      <c r="AR102" s="135"/>
      <c r="AS102" s="135"/>
      <c r="AT102" s="135"/>
      <c r="AU102" s="135"/>
      <c r="AV102" s="135"/>
      <c r="AW102" s="135"/>
      <c r="AX102" s="135"/>
      <c r="AY102" s="135"/>
      <c r="AZ102" s="135"/>
      <c r="BA102" s="135"/>
      <c r="BB102" s="135"/>
      <c r="BC102" s="135"/>
      <c r="BD102" s="135"/>
      <c r="BE102" s="135"/>
      <c r="BF102" s="135"/>
      <c r="BG102" s="135"/>
      <c r="BH102" s="135"/>
      <c r="BI102" s="135"/>
    </row>
    <row r="103" spans="23:61">
      <c r="W103" s="135"/>
      <c r="X103" s="135"/>
      <c r="Y103" s="135"/>
      <c r="Z103" s="135"/>
      <c r="AA103" s="135"/>
      <c r="AB103" s="135"/>
      <c r="AC103" s="135"/>
      <c r="AD103" s="135"/>
      <c r="AE103" s="135"/>
      <c r="AF103" s="135"/>
      <c r="AG103" s="135"/>
      <c r="AH103" s="135"/>
      <c r="AI103" s="135"/>
      <c r="AJ103" s="135"/>
      <c r="AK103" s="135"/>
      <c r="AL103" s="135"/>
      <c r="AM103" s="135"/>
      <c r="AN103" s="135"/>
      <c r="AO103" s="135"/>
      <c r="AP103" s="135"/>
      <c r="AQ103" s="135"/>
      <c r="AR103" s="135"/>
      <c r="AS103" s="135"/>
      <c r="AT103" s="135"/>
      <c r="AU103" s="135"/>
      <c r="AV103" s="135"/>
      <c r="AW103" s="135"/>
      <c r="AX103" s="135"/>
      <c r="AY103" s="135"/>
      <c r="AZ103" s="135"/>
      <c r="BA103" s="135"/>
      <c r="BB103" s="135"/>
      <c r="BC103" s="135"/>
      <c r="BD103" s="135"/>
      <c r="BE103" s="135"/>
      <c r="BF103" s="135"/>
      <c r="BG103" s="135"/>
      <c r="BH103" s="135"/>
      <c r="BI103" s="135"/>
    </row>
    <row r="104" spans="23:61">
      <c r="W104" s="135"/>
      <c r="X104" s="135"/>
      <c r="Y104" s="135"/>
      <c r="Z104" s="135"/>
      <c r="AA104" s="135"/>
      <c r="AB104" s="135"/>
      <c r="AC104" s="135"/>
      <c r="AD104" s="135"/>
      <c r="AE104" s="135"/>
      <c r="AF104" s="135"/>
      <c r="AG104" s="135"/>
      <c r="AH104" s="135"/>
      <c r="AI104" s="135"/>
      <c r="AJ104" s="135"/>
      <c r="AK104" s="135"/>
      <c r="AL104" s="135"/>
      <c r="AM104" s="135"/>
      <c r="AN104" s="135"/>
      <c r="AO104" s="135"/>
      <c r="AP104" s="135"/>
      <c r="AQ104" s="135"/>
      <c r="AR104" s="135"/>
      <c r="AS104" s="135"/>
      <c r="AT104" s="135"/>
      <c r="AU104" s="135"/>
      <c r="AV104" s="135"/>
      <c r="AW104" s="135"/>
      <c r="AX104" s="135"/>
      <c r="AY104" s="135"/>
      <c r="AZ104" s="135"/>
      <c r="BA104" s="135"/>
      <c r="BB104" s="135"/>
      <c r="BC104" s="135"/>
      <c r="BD104" s="135"/>
      <c r="BE104" s="135"/>
      <c r="BF104" s="135"/>
      <c r="BG104" s="135"/>
      <c r="BH104" s="135"/>
      <c r="BI104" s="135"/>
    </row>
    <row r="105" spans="23:61">
      <c r="W105" s="135"/>
      <c r="X105" s="135"/>
      <c r="Y105" s="135"/>
      <c r="Z105" s="135"/>
      <c r="AA105" s="135"/>
      <c r="AB105" s="135"/>
      <c r="AC105" s="135"/>
      <c r="AD105" s="135"/>
      <c r="AE105" s="135"/>
      <c r="AF105" s="135"/>
      <c r="AG105" s="135"/>
      <c r="AH105" s="135"/>
      <c r="AI105" s="135"/>
      <c r="AJ105" s="135"/>
      <c r="AK105" s="135"/>
      <c r="AL105" s="135"/>
      <c r="AM105" s="135"/>
      <c r="AN105" s="135"/>
      <c r="AO105" s="135"/>
      <c r="AP105" s="135"/>
      <c r="AQ105" s="135"/>
      <c r="AR105" s="135"/>
      <c r="AS105" s="135"/>
      <c r="AT105" s="135"/>
      <c r="AU105" s="135"/>
      <c r="AV105" s="135"/>
      <c r="AW105" s="135"/>
      <c r="AX105" s="135"/>
      <c r="AY105" s="135"/>
      <c r="AZ105" s="135"/>
      <c r="BA105" s="135"/>
      <c r="BB105" s="135"/>
      <c r="BC105" s="135"/>
      <c r="BD105" s="135"/>
      <c r="BE105" s="135"/>
      <c r="BF105" s="135"/>
      <c r="BG105" s="135"/>
      <c r="BH105" s="135"/>
      <c r="BI105" s="135"/>
    </row>
    <row r="106" spans="23:61">
      <c r="W106" s="135"/>
      <c r="X106" s="135"/>
      <c r="Y106" s="135"/>
      <c r="Z106" s="135"/>
      <c r="AA106" s="135"/>
      <c r="AB106" s="135"/>
      <c r="AC106" s="135"/>
      <c r="AD106" s="135"/>
      <c r="AE106" s="135"/>
      <c r="AF106" s="135"/>
      <c r="AG106" s="135"/>
      <c r="AH106" s="135"/>
      <c r="AI106" s="135"/>
      <c r="AJ106" s="135"/>
      <c r="AK106" s="135"/>
      <c r="AL106" s="135"/>
      <c r="AM106" s="135"/>
      <c r="AN106" s="135"/>
      <c r="AO106" s="135"/>
      <c r="AP106" s="135"/>
      <c r="AQ106" s="135"/>
      <c r="AR106" s="135"/>
      <c r="AS106" s="135"/>
      <c r="AT106" s="135"/>
      <c r="AU106" s="135"/>
      <c r="AV106" s="135"/>
      <c r="AW106" s="135"/>
      <c r="AX106" s="135"/>
      <c r="AY106" s="135"/>
      <c r="AZ106" s="135"/>
      <c r="BA106" s="135"/>
      <c r="BB106" s="135"/>
      <c r="BC106" s="135"/>
      <c r="BD106" s="135"/>
      <c r="BE106" s="135"/>
      <c r="BF106" s="135"/>
      <c r="BG106" s="135"/>
      <c r="BH106" s="135"/>
      <c r="BI106" s="135"/>
    </row>
    <row r="107" spans="23:61">
      <c r="W107" s="135"/>
      <c r="X107" s="135"/>
      <c r="Y107" s="135"/>
      <c r="Z107" s="135"/>
      <c r="AA107" s="135"/>
      <c r="AB107" s="135"/>
      <c r="AC107" s="135"/>
      <c r="AD107" s="135"/>
      <c r="AE107" s="135"/>
      <c r="AF107" s="135"/>
      <c r="AG107" s="135"/>
      <c r="AH107" s="135"/>
      <c r="AI107" s="135"/>
      <c r="AJ107" s="135"/>
      <c r="AK107" s="135"/>
      <c r="AL107" s="135"/>
      <c r="AM107" s="135"/>
      <c r="AN107" s="135"/>
      <c r="AO107" s="135"/>
      <c r="AP107" s="135"/>
      <c r="AQ107" s="135"/>
      <c r="AR107" s="135"/>
      <c r="AS107" s="135"/>
      <c r="AT107" s="135"/>
      <c r="AU107" s="135"/>
      <c r="AV107" s="135"/>
      <c r="AW107" s="135"/>
      <c r="AX107" s="135"/>
      <c r="AY107" s="135"/>
      <c r="AZ107" s="135"/>
      <c r="BA107" s="135"/>
      <c r="BB107" s="135"/>
      <c r="BC107" s="135"/>
      <c r="BD107" s="135"/>
      <c r="BE107" s="135"/>
      <c r="BF107" s="135"/>
      <c r="BG107" s="135"/>
      <c r="BH107" s="135"/>
      <c r="BI107" s="135"/>
    </row>
    <row r="108" spans="23:61">
      <c r="W108" s="135"/>
      <c r="X108" s="135"/>
      <c r="Y108" s="135"/>
      <c r="Z108" s="135"/>
      <c r="AA108" s="135"/>
      <c r="AB108" s="135"/>
      <c r="AC108" s="135"/>
      <c r="AD108" s="135"/>
      <c r="AE108" s="135"/>
      <c r="AF108" s="135"/>
      <c r="AG108" s="135"/>
      <c r="AH108" s="135"/>
      <c r="AI108" s="135"/>
      <c r="AJ108" s="135"/>
      <c r="AK108" s="135"/>
      <c r="AL108" s="135"/>
      <c r="AM108" s="135"/>
      <c r="AN108" s="135"/>
      <c r="AO108" s="135"/>
      <c r="AP108" s="135"/>
      <c r="AQ108" s="135"/>
      <c r="AR108" s="135"/>
      <c r="AS108" s="135"/>
      <c r="AT108" s="135"/>
      <c r="AU108" s="135"/>
      <c r="AV108" s="135"/>
      <c r="AW108" s="135"/>
      <c r="AX108" s="135"/>
      <c r="AY108" s="135"/>
      <c r="AZ108" s="135"/>
      <c r="BA108" s="135"/>
      <c r="BB108" s="135"/>
      <c r="BC108" s="135"/>
      <c r="BD108" s="135"/>
      <c r="BE108" s="135"/>
      <c r="BF108" s="135"/>
      <c r="BG108" s="135"/>
      <c r="BH108" s="135"/>
      <c r="BI108" s="135"/>
    </row>
    <row r="109" spans="23:61">
      <c r="W109" s="135"/>
      <c r="X109" s="135"/>
      <c r="Y109" s="135"/>
      <c r="Z109" s="135"/>
      <c r="AA109" s="135"/>
      <c r="AB109" s="135"/>
      <c r="AC109" s="135"/>
      <c r="AD109" s="135"/>
      <c r="AE109" s="135"/>
      <c r="AF109" s="135"/>
      <c r="AG109" s="135"/>
      <c r="AH109" s="135"/>
      <c r="AI109" s="135"/>
      <c r="AJ109" s="135"/>
      <c r="AK109" s="135"/>
      <c r="AL109" s="135"/>
      <c r="AM109" s="135"/>
      <c r="AN109" s="135"/>
      <c r="AO109" s="135"/>
      <c r="AP109" s="135"/>
      <c r="AQ109" s="135"/>
      <c r="AR109" s="135"/>
      <c r="AS109" s="135"/>
      <c r="AT109" s="135"/>
      <c r="AU109" s="135"/>
      <c r="AV109" s="135"/>
      <c r="AW109" s="135"/>
      <c r="AX109" s="135"/>
      <c r="AY109" s="135"/>
      <c r="AZ109" s="135"/>
      <c r="BA109" s="135"/>
      <c r="BB109" s="135"/>
      <c r="BC109" s="135"/>
      <c r="BD109" s="135"/>
      <c r="BE109" s="135"/>
      <c r="BF109" s="135"/>
      <c r="BG109" s="135"/>
      <c r="BH109" s="135"/>
      <c r="BI109" s="135"/>
    </row>
    <row r="110" spans="23:61">
      <c r="W110" s="135"/>
      <c r="X110" s="135"/>
      <c r="Y110" s="135"/>
      <c r="Z110" s="135"/>
      <c r="AA110" s="135"/>
      <c r="AB110" s="135"/>
      <c r="AC110" s="135"/>
      <c r="AD110" s="135"/>
      <c r="AE110" s="135"/>
      <c r="AF110" s="135"/>
      <c r="AG110" s="135"/>
      <c r="AH110" s="135"/>
      <c r="AI110" s="135"/>
      <c r="AJ110" s="135"/>
      <c r="AK110" s="135"/>
      <c r="AL110" s="135"/>
      <c r="AM110" s="135"/>
      <c r="AN110" s="135"/>
      <c r="AO110" s="135"/>
      <c r="AP110" s="135"/>
      <c r="AQ110" s="135"/>
      <c r="AR110" s="135"/>
      <c r="AS110" s="135"/>
      <c r="AT110" s="135"/>
      <c r="AU110" s="135"/>
      <c r="AV110" s="135"/>
      <c r="AW110" s="135"/>
      <c r="AX110" s="135"/>
      <c r="AY110" s="135"/>
      <c r="AZ110" s="135"/>
      <c r="BA110" s="135"/>
      <c r="BB110" s="135"/>
      <c r="BC110" s="135"/>
      <c r="BD110" s="135"/>
      <c r="BE110" s="135"/>
      <c r="BF110" s="135"/>
      <c r="BG110" s="135"/>
      <c r="BH110" s="135"/>
      <c r="BI110" s="135"/>
    </row>
    <row r="111" spans="23:61">
      <c r="W111" s="135"/>
      <c r="X111" s="135"/>
      <c r="Y111" s="135"/>
      <c r="Z111" s="135"/>
      <c r="AA111" s="135"/>
      <c r="AB111" s="135"/>
      <c r="AC111" s="135"/>
      <c r="AD111" s="135"/>
      <c r="AE111" s="135"/>
      <c r="AF111" s="135"/>
      <c r="AG111" s="135"/>
      <c r="AH111" s="135"/>
      <c r="AI111" s="135"/>
      <c r="AJ111" s="135"/>
      <c r="AK111" s="135"/>
      <c r="AL111" s="135"/>
      <c r="AM111" s="135"/>
      <c r="AN111" s="135"/>
      <c r="AO111" s="135"/>
      <c r="AP111" s="135"/>
      <c r="AQ111" s="135"/>
      <c r="AR111" s="135"/>
      <c r="AS111" s="135"/>
      <c r="AT111" s="135"/>
      <c r="AU111" s="135"/>
      <c r="AV111" s="135"/>
      <c r="AW111" s="135"/>
      <c r="AX111" s="135"/>
      <c r="AY111" s="135"/>
      <c r="AZ111" s="135"/>
      <c r="BA111" s="135"/>
      <c r="BB111" s="135"/>
      <c r="BC111" s="135"/>
      <c r="BD111" s="135"/>
      <c r="BE111" s="135"/>
      <c r="BF111" s="135"/>
      <c r="BG111" s="135"/>
      <c r="BH111" s="135"/>
      <c r="BI111" s="135"/>
    </row>
    <row r="112" spans="23:61">
      <c r="W112" s="135"/>
      <c r="X112" s="135"/>
      <c r="Y112" s="135"/>
      <c r="Z112" s="135"/>
      <c r="AA112" s="135"/>
      <c r="AB112" s="135"/>
      <c r="AC112" s="135"/>
      <c r="AD112" s="135"/>
      <c r="AE112" s="135"/>
      <c r="AF112" s="135"/>
      <c r="AG112" s="135"/>
      <c r="AH112" s="135"/>
      <c r="AI112" s="135"/>
      <c r="AJ112" s="135"/>
      <c r="AK112" s="135"/>
      <c r="AL112" s="135"/>
      <c r="AM112" s="135"/>
      <c r="AN112" s="135"/>
      <c r="AO112" s="135"/>
      <c r="AP112" s="135"/>
      <c r="AQ112" s="135"/>
      <c r="AR112" s="135"/>
      <c r="AS112" s="135"/>
      <c r="AT112" s="135"/>
      <c r="AU112" s="135"/>
      <c r="AV112" s="135"/>
      <c r="AW112" s="135"/>
      <c r="AX112" s="135"/>
      <c r="AY112" s="135"/>
      <c r="AZ112" s="135"/>
      <c r="BA112" s="135"/>
      <c r="BB112" s="135"/>
      <c r="BC112" s="135"/>
      <c r="BD112" s="135"/>
      <c r="BE112" s="135"/>
      <c r="BF112" s="135"/>
      <c r="BG112" s="135"/>
      <c r="BH112" s="135"/>
      <c r="BI112" s="135"/>
    </row>
    <row r="113" spans="23:61">
      <c r="W113" s="135"/>
      <c r="X113" s="135"/>
      <c r="Y113" s="135"/>
      <c r="Z113" s="135"/>
      <c r="AA113" s="135"/>
      <c r="AB113" s="135"/>
      <c r="AC113" s="135"/>
      <c r="AD113" s="135"/>
      <c r="AE113" s="135"/>
      <c r="AF113" s="135"/>
      <c r="AG113" s="135"/>
      <c r="AH113" s="135"/>
      <c r="AI113" s="135"/>
      <c r="AJ113" s="135"/>
      <c r="AK113" s="135"/>
      <c r="AL113" s="135"/>
      <c r="AM113" s="135"/>
      <c r="AN113" s="135"/>
      <c r="AO113" s="135"/>
      <c r="AP113" s="135"/>
      <c r="AQ113" s="135"/>
      <c r="AR113" s="135"/>
      <c r="AS113" s="135"/>
      <c r="AT113" s="135"/>
      <c r="AU113" s="135"/>
      <c r="AV113" s="135"/>
      <c r="AW113" s="135"/>
      <c r="AX113" s="135"/>
      <c r="AY113" s="135"/>
      <c r="AZ113" s="135"/>
      <c r="BA113" s="135"/>
      <c r="BB113" s="135"/>
      <c r="BC113" s="135"/>
      <c r="BD113" s="135"/>
      <c r="BE113" s="135"/>
      <c r="BF113" s="135"/>
      <c r="BG113" s="135"/>
      <c r="BH113" s="135"/>
      <c r="BI113" s="135"/>
    </row>
    <row r="114" spans="23:61">
      <c r="W114" s="135"/>
      <c r="X114" s="135"/>
      <c r="Y114" s="135"/>
      <c r="Z114" s="135"/>
      <c r="AA114" s="135"/>
      <c r="AB114" s="135"/>
      <c r="AC114" s="135"/>
      <c r="AD114" s="135"/>
      <c r="AE114" s="135"/>
      <c r="AF114" s="135"/>
      <c r="AG114" s="135"/>
      <c r="AH114" s="135"/>
      <c r="AI114" s="135"/>
      <c r="AJ114" s="135"/>
      <c r="AK114" s="135"/>
      <c r="AL114" s="135"/>
      <c r="AM114" s="135"/>
      <c r="AN114" s="135"/>
      <c r="AO114" s="135"/>
      <c r="AP114" s="135"/>
      <c r="AQ114" s="135"/>
      <c r="AR114" s="135"/>
      <c r="AS114" s="135"/>
      <c r="AT114" s="135"/>
      <c r="AU114" s="135"/>
      <c r="AV114" s="135"/>
      <c r="AW114" s="135"/>
      <c r="AX114" s="135"/>
      <c r="AY114" s="135"/>
      <c r="AZ114" s="135"/>
      <c r="BA114" s="135"/>
      <c r="BB114" s="135"/>
      <c r="BC114" s="135"/>
      <c r="BD114" s="135"/>
      <c r="BE114" s="135"/>
      <c r="BF114" s="135"/>
      <c r="BG114" s="135"/>
      <c r="BH114" s="135"/>
      <c r="BI114" s="135"/>
    </row>
    <row r="115" spans="23:61">
      <c r="W115" s="135"/>
      <c r="X115" s="135"/>
      <c r="Y115" s="135"/>
      <c r="Z115" s="135"/>
      <c r="AA115" s="135"/>
      <c r="AB115" s="135"/>
      <c r="AC115" s="135"/>
      <c r="AD115" s="135"/>
      <c r="AE115" s="135"/>
      <c r="AF115" s="135"/>
      <c r="AG115" s="135"/>
      <c r="AH115" s="135"/>
      <c r="AI115" s="135"/>
      <c r="AJ115" s="135"/>
      <c r="AK115" s="135"/>
      <c r="AL115" s="135"/>
      <c r="AM115" s="135"/>
      <c r="AN115" s="135"/>
      <c r="AO115" s="135"/>
      <c r="AP115" s="135"/>
      <c r="AQ115" s="135"/>
      <c r="AR115" s="135"/>
      <c r="AS115" s="135"/>
      <c r="AT115" s="135"/>
      <c r="AU115" s="135"/>
      <c r="AV115" s="135"/>
      <c r="AW115" s="135"/>
      <c r="AX115" s="135"/>
      <c r="AY115" s="135"/>
      <c r="AZ115" s="135"/>
      <c r="BA115" s="135"/>
      <c r="BB115" s="135"/>
      <c r="BC115" s="135"/>
      <c r="BD115" s="135"/>
      <c r="BE115" s="135"/>
      <c r="BF115" s="135"/>
      <c r="BG115" s="135"/>
      <c r="BH115" s="135"/>
      <c r="BI115" s="135"/>
    </row>
    <row r="116" spans="23:61">
      <c r="W116" s="135"/>
      <c r="X116" s="135"/>
      <c r="Y116" s="135"/>
      <c r="Z116" s="135"/>
      <c r="AA116" s="135"/>
      <c r="AB116" s="135"/>
      <c r="AC116" s="135"/>
      <c r="AD116" s="135"/>
      <c r="AE116" s="135"/>
      <c r="AF116" s="135"/>
      <c r="AG116" s="135"/>
      <c r="AH116" s="135"/>
      <c r="AI116" s="135"/>
      <c r="AJ116" s="135"/>
      <c r="AK116" s="135"/>
      <c r="AL116" s="135"/>
      <c r="AM116" s="135"/>
      <c r="AN116" s="135"/>
      <c r="AO116" s="135"/>
      <c r="AP116" s="135"/>
      <c r="AQ116" s="135"/>
      <c r="AR116" s="135"/>
      <c r="AS116" s="135"/>
      <c r="AT116" s="135"/>
      <c r="AU116" s="135"/>
      <c r="AV116" s="135"/>
      <c r="AW116" s="135"/>
      <c r="AX116" s="135"/>
      <c r="AY116" s="135"/>
      <c r="AZ116" s="135"/>
      <c r="BA116" s="135"/>
      <c r="BB116" s="135"/>
      <c r="BC116" s="135"/>
      <c r="BD116" s="135"/>
      <c r="BE116" s="135"/>
      <c r="BF116" s="135"/>
      <c r="BG116" s="135"/>
      <c r="BH116" s="135"/>
      <c r="BI116" s="135"/>
    </row>
    <row r="117" spans="23:61">
      <c r="W117" s="135"/>
      <c r="X117" s="135"/>
      <c r="Y117" s="135"/>
      <c r="Z117" s="135"/>
      <c r="AA117" s="135"/>
      <c r="AB117" s="135"/>
      <c r="AC117" s="135"/>
      <c r="AD117" s="135"/>
      <c r="AE117" s="135"/>
      <c r="AF117" s="135"/>
      <c r="AG117" s="135"/>
      <c r="AH117" s="135"/>
      <c r="AI117" s="135"/>
      <c r="AJ117" s="135"/>
      <c r="AK117" s="135"/>
      <c r="AL117" s="135"/>
      <c r="AM117" s="135"/>
      <c r="AN117" s="135"/>
      <c r="AO117" s="135"/>
      <c r="AP117" s="135"/>
      <c r="AQ117" s="135"/>
      <c r="AR117" s="135"/>
      <c r="AS117" s="135"/>
      <c r="AT117" s="135"/>
      <c r="AU117" s="135"/>
      <c r="AV117" s="135"/>
      <c r="AW117" s="135"/>
      <c r="AX117" s="135"/>
      <c r="AY117" s="135"/>
      <c r="AZ117" s="135"/>
      <c r="BA117" s="135"/>
      <c r="BB117" s="135"/>
      <c r="BC117" s="135"/>
      <c r="BD117" s="135"/>
      <c r="BE117" s="135"/>
      <c r="BF117" s="135"/>
      <c r="BG117" s="135"/>
      <c r="BH117" s="135"/>
      <c r="BI117" s="135"/>
    </row>
    <row r="118" spans="23:61">
      <c r="W118" s="135"/>
      <c r="X118" s="135"/>
      <c r="Y118" s="135"/>
      <c r="Z118" s="135"/>
      <c r="AA118" s="135"/>
      <c r="AB118" s="135"/>
      <c r="AC118" s="135"/>
      <c r="AD118" s="135"/>
      <c r="AE118" s="135"/>
      <c r="AF118" s="135"/>
      <c r="AG118" s="135"/>
      <c r="AH118" s="135"/>
      <c r="AI118" s="135"/>
      <c r="AJ118" s="135"/>
      <c r="AK118" s="135"/>
      <c r="AL118" s="135"/>
      <c r="AM118" s="135"/>
      <c r="AN118" s="135"/>
      <c r="AO118" s="135"/>
      <c r="AP118" s="135"/>
      <c r="AQ118" s="135"/>
      <c r="AR118" s="135"/>
      <c r="AS118" s="135"/>
      <c r="AT118" s="135"/>
      <c r="AU118" s="135"/>
      <c r="AV118" s="135"/>
      <c r="AW118" s="135"/>
      <c r="AX118" s="135"/>
      <c r="AY118" s="135"/>
      <c r="AZ118" s="135"/>
      <c r="BA118" s="135"/>
      <c r="BB118" s="135"/>
      <c r="BC118" s="135"/>
      <c r="BD118" s="135"/>
      <c r="BE118" s="135"/>
      <c r="BF118" s="135"/>
      <c r="BG118" s="135"/>
      <c r="BH118" s="135"/>
      <c r="BI118" s="135"/>
    </row>
    <row r="119" spans="23:61">
      <c r="W119" s="135"/>
      <c r="X119" s="135"/>
      <c r="Y119" s="135"/>
      <c r="Z119" s="135"/>
      <c r="AA119" s="135"/>
      <c r="AB119" s="135"/>
      <c r="AC119" s="135"/>
      <c r="AD119" s="135"/>
      <c r="AE119" s="135"/>
      <c r="AF119" s="135"/>
      <c r="AG119" s="135"/>
      <c r="AH119" s="135"/>
      <c r="AI119" s="135"/>
      <c r="AJ119" s="135"/>
      <c r="AK119" s="135"/>
      <c r="AL119" s="135"/>
      <c r="AM119" s="135"/>
      <c r="AN119" s="135"/>
      <c r="AO119" s="135"/>
      <c r="AP119" s="135"/>
      <c r="AQ119" s="135"/>
      <c r="AR119" s="135"/>
      <c r="AS119" s="135"/>
      <c r="AT119" s="135"/>
      <c r="AU119" s="135"/>
      <c r="AV119" s="135"/>
      <c r="AW119" s="135"/>
      <c r="AX119" s="135"/>
      <c r="AY119" s="135"/>
      <c r="AZ119" s="135"/>
      <c r="BA119" s="135"/>
      <c r="BB119" s="135"/>
      <c r="BC119" s="135"/>
      <c r="BD119" s="135"/>
      <c r="BE119" s="135"/>
      <c r="BF119" s="135"/>
      <c r="BG119" s="135"/>
      <c r="BH119" s="135"/>
      <c r="BI119" s="135"/>
    </row>
    <row r="120" spans="23:61">
      <c r="W120" s="135"/>
      <c r="X120" s="135"/>
      <c r="Y120" s="135"/>
      <c r="Z120" s="135"/>
      <c r="AA120" s="135"/>
      <c r="AB120" s="135"/>
      <c r="AC120" s="135"/>
      <c r="AD120" s="135"/>
      <c r="AE120" s="135"/>
      <c r="AF120" s="135"/>
      <c r="AG120" s="135"/>
      <c r="AH120" s="135"/>
      <c r="AI120" s="135"/>
      <c r="AJ120" s="135"/>
      <c r="AK120" s="135"/>
      <c r="AL120" s="135"/>
      <c r="AM120" s="135"/>
      <c r="AN120" s="135"/>
      <c r="AO120" s="135"/>
      <c r="AP120" s="135"/>
      <c r="AQ120" s="135"/>
      <c r="AR120" s="135"/>
      <c r="AS120" s="135"/>
      <c r="AT120" s="135"/>
      <c r="AU120" s="135"/>
      <c r="AV120" s="135"/>
      <c r="AW120" s="135"/>
      <c r="AX120" s="135"/>
      <c r="AY120" s="135"/>
      <c r="AZ120" s="135"/>
      <c r="BA120" s="135"/>
      <c r="BB120" s="135"/>
      <c r="BC120" s="135"/>
      <c r="BD120" s="135"/>
      <c r="BE120" s="135"/>
      <c r="BF120" s="135"/>
      <c r="BG120" s="135"/>
      <c r="BH120" s="135"/>
      <c r="BI120" s="135"/>
    </row>
    <row r="121" spans="23:61">
      <c r="W121" s="135"/>
      <c r="X121" s="135"/>
      <c r="Y121" s="135"/>
      <c r="Z121" s="135"/>
      <c r="AA121" s="135"/>
      <c r="AB121" s="135"/>
      <c r="AC121" s="135"/>
      <c r="AD121" s="135"/>
      <c r="AE121" s="135"/>
      <c r="AF121" s="135"/>
      <c r="AG121" s="135"/>
      <c r="AH121" s="135"/>
      <c r="AI121" s="135"/>
      <c r="AJ121" s="135"/>
      <c r="AK121" s="135"/>
      <c r="AL121" s="135"/>
      <c r="AM121" s="135"/>
      <c r="AN121" s="135"/>
      <c r="AO121" s="135"/>
      <c r="AP121" s="135"/>
      <c r="AQ121" s="135"/>
      <c r="AR121" s="135"/>
      <c r="AS121" s="135"/>
      <c r="AT121" s="135"/>
      <c r="AU121" s="135"/>
      <c r="AV121" s="135"/>
      <c r="AW121" s="135"/>
      <c r="AX121" s="135"/>
      <c r="AY121" s="135"/>
      <c r="AZ121" s="135"/>
      <c r="BA121" s="135"/>
      <c r="BB121" s="135"/>
      <c r="BC121" s="135"/>
      <c r="BD121" s="135"/>
      <c r="BE121" s="135"/>
      <c r="BF121" s="135"/>
      <c r="BG121" s="135"/>
      <c r="BH121" s="135"/>
      <c r="BI121" s="135"/>
    </row>
    <row r="122" spans="23:61">
      <c r="W122" s="135"/>
      <c r="X122" s="135"/>
      <c r="Y122" s="135"/>
      <c r="Z122" s="135"/>
      <c r="AA122" s="135"/>
      <c r="AB122" s="135"/>
      <c r="AC122" s="135"/>
      <c r="AD122" s="135"/>
      <c r="AE122" s="135"/>
      <c r="AF122" s="135"/>
      <c r="AG122" s="135"/>
      <c r="AH122" s="135"/>
      <c r="AI122" s="135"/>
      <c r="AJ122" s="135"/>
      <c r="AK122" s="135"/>
      <c r="AL122" s="135"/>
      <c r="AM122" s="135"/>
      <c r="AN122" s="135"/>
      <c r="AO122" s="135"/>
      <c r="AP122" s="135"/>
      <c r="AQ122" s="135"/>
      <c r="AR122" s="135"/>
      <c r="AS122" s="135"/>
      <c r="AT122" s="135"/>
      <c r="AU122" s="135"/>
      <c r="AV122" s="135"/>
      <c r="AW122" s="135"/>
      <c r="AX122" s="135"/>
      <c r="AY122" s="135"/>
      <c r="AZ122" s="135"/>
      <c r="BA122" s="135"/>
      <c r="BB122" s="135"/>
      <c r="BC122" s="135"/>
      <c r="BD122" s="135"/>
      <c r="BE122" s="135"/>
      <c r="BF122" s="135"/>
      <c r="BG122" s="135"/>
      <c r="BH122" s="135"/>
      <c r="BI122" s="135"/>
    </row>
    <row r="123" spans="23:61">
      <c r="W123" s="135"/>
      <c r="X123" s="135"/>
      <c r="Y123" s="135"/>
      <c r="Z123" s="135"/>
      <c r="AA123" s="135"/>
      <c r="AB123" s="135"/>
      <c r="AC123" s="135"/>
      <c r="AD123" s="135"/>
      <c r="AE123" s="135"/>
      <c r="AF123" s="135"/>
      <c r="AG123" s="135"/>
      <c r="AH123" s="135"/>
      <c r="AI123" s="135"/>
      <c r="AJ123" s="135"/>
      <c r="AK123" s="135"/>
      <c r="AL123" s="135"/>
      <c r="AM123" s="135"/>
      <c r="AN123" s="135"/>
      <c r="AO123" s="135"/>
      <c r="AP123" s="135"/>
      <c r="AQ123" s="135"/>
      <c r="AR123" s="135"/>
      <c r="AS123" s="135"/>
      <c r="AT123" s="135"/>
      <c r="AU123" s="135"/>
      <c r="AV123" s="135"/>
      <c r="AW123" s="135"/>
      <c r="AX123" s="135"/>
      <c r="AY123" s="135"/>
      <c r="AZ123" s="135"/>
      <c r="BA123" s="135"/>
      <c r="BB123" s="135"/>
      <c r="BC123" s="135"/>
      <c r="BD123" s="135"/>
      <c r="BE123" s="135"/>
      <c r="BF123" s="135"/>
      <c r="BG123" s="135"/>
      <c r="BH123" s="135"/>
      <c r="BI123" s="135"/>
    </row>
    <row r="124" spans="23:61">
      <c r="W124" s="135"/>
      <c r="X124" s="135"/>
      <c r="Y124" s="135"/>
      <c r="Z124" s="135"/>
      <c r="AA124" s="135"/>
      <c r="AB124" s="135"/>
      <c r="AC124" s="135"/>
      <c r="AD124" s="135"/>
      <c r="AE124" s="135"/>
      <c r="AF124" s="135"/>
      <c r="AG124" s="135"/>
      <c r="AH124" s="135"/>
      <c r="AI124" s="135"/>
      <c r="AJ124" s="135"/>
      <c r="AK124" s="135"/>
      <c r="AL124" s="135"/>
      <c r="AM124" s="135"/>
      <c r="AN124" s="135"/>
      <c r="AO124" s="135"/>
      <c r="AP124" s="135"/>
      <c r="AQ124" s="135"/>
      <c r="AR124" s="135"/>
      <c r="AS124" s="135"/>
      <c r="AT124" s="135"/>
      <c r="AU124" s="135"/>
      <c r="AV124" s="135"/>
      <c r="AW124" s="135"/>
      <c r="AX124" s="135"/>
      <c r="AY124" s="135"/>
      <c r="AZ124" s="135"/>
      <c r="BA124" s="135"/>
      <c r="BB124" s="135"/>
      <c r="BC124" s="135"/>
      <c r="BD124" s="135"/>
      <c r="BE124" s="135"/>
      <c r="BF124" s="135"/>
      <c r="BG124" s="135"/>
      <c r="BH124" s="135"/>
      <c r="BI124" s="135"/>
    </row>
    <row r="125" spans="23:61">
      <c r="W125" s="135"/>
      <c r="X125" s="135"/>
      <c r="Y125" s="135"/>
      <c r="Z125" s="135"/>
      <c r="AA125" s="135"/>
      <c r="AB125" s="135"/>
      <c r="AC125" s="135"/>
      <c r="AD125" s="135"/>
      <c r="AE125" s="135"/>
      <c r="AF125" s="135"/>
      <c r="AG125" s="135"/>
      <c r="AH125" s="135"/>
      <c r="AI125" s="135"/>
      <c r="AJ125" s="135"/>
      <c r="AK125" s="135"/>
      <c r="AL125" s="135"/>
      <c r="AM125" s="135"/>
      <c r="AN125" s="135"/>
      <c r="AO125" s="135"/>
      <c r="AP125" s="135"/>
      <c r="AQ125" s="135"/>
      <c r="AR125" s="135"/>
      <c r="AS125" s="135"/>
      <c r="AT125" s="135"/>
      <c r="AU125" s="135"/>
      <c r="AV125" s="135"/>
      <c r="AW125" s="135"/>
      <c r="AX125" s="135"/>
      <c r="AY125" s="135"/>
      <c r="AZ125" s="135"/>
      <c r="BA125" s="135"/>
      <c r="BB125" s="135"/>
      <c r="BC125" s="135"/>
      <c r="BD125" s="135"/>
      <c r="BE125" s="135"/>
      <c r="BF125" s="135"/>
      <c r="BG125" s="135"/>
      <c r="BH125" s="135"/>
      <c r="BI125" s="135"/>
    </row>
    <row r="126" spans="23:61">
      <c r="W126" s="135"/>
      <c r="X126" s="135"/>
      <c r="Y126" s="135"/>
      <c r="Z126" s="135"/>
      <c r="AA126" s="135"/>
      <c r="AB126" s="135"/>
      <c r="AC126" s="135"/>
      <c r="AD126" s="135"/>
      <c r="AE126" s="135"/>
      <c r="AF126" s="135"/>
      <c r="AG126" s="135"/>
      <c r="AH126" s="135"/>
      <c r="AI126" s="135"/>
      <c r="AJ126" s="135"/>
      <c r="AK126" s="135"/>
      <c r="AL126" s="135"/>
      <c r="AM126" s="135"/>
      <c r="AN126" s="135"/>
      <c r="AO126" s="135"/>
      <c r="AP126" s="135"/>
      <c r="AQ126" s="135"/>
      <c r="AR126" s="135"/>
      <c r="AS126" s="135"/>
      <c r="AT126" s="135"/>
      <c r="AU126" s="135"/>
      <c r="AV126" s="135"/>
      <c r="AW126" s="135"/>
      <c r="AX126" s="135"/>
      <c r="AY126" s="135"/>
      <c r="AZ126" s="135"/>
      <c r="BA126" s="135"/>
      <c r="BB126" s="135"/>
      <c r="BC126" s="135"/>
      <c r="BD126" s="135"/>
      <c r="BE126" s="135"/>
      <c r="BF126" s="135"/>
      <c r="BG126" s="135"/>
      <c r="BH126" s="135"/>
      <c r="BI126" s="135"/>
    </row>
    <row r="127" spans="23:61">
      <c r="W127" s="135"/>
      <c r="X127" s="135"/>
      <c r="Y127" s="135"/>
      <c r="Z127" s="135"/>
      <c r="AA127" s="135"/>
      <c r="AB127" s="135"/>
      <c r="AC127" s="135"/>
      <c r="AD127" s="135"/>
      <c r="AE127" s="135"/>
      <c r="AF127" s="135"/>
      <c r="AG127" s="135"/>
      <c r="AH127" s="135"/>
      <c r="AI127" s="135"/>
      <c r="AJ127" s="135"/>
      <c r="AK127" s="135"/>
      <c r="AL127" s="135"/>
      <c r="AM127" s="135"/>
      <c r="AN127" s="135"/>
      <c r="AO127" s="135"/>
      <c r="AP127" s="135"/>
      <c r="AQ127" s="135"/>
      <c r="AR127" s="135"/>
      <c r="AS127" s="135"/>
      <c r="AT127" s="135"/>
      <c r="AU127" s="135"/>
      <c r="AV127" s="135"/>
      <c r="AW127" s="135"/>
      <c r="AX127" s="135"/>
      <c r="AY127" s="135"/>
      <c r="AZ127" s="135"/>
      <c r="BA127" s="135"/>
      <c r="BB127" s="135"/>
      <c r="BC127" s="135"/>
      <c r="BD127" s="135"/>
      <c r="BE127" s="135"/>
      <c r="BF127" s="135"/>
      <c r="BG127" s="135"/>
      <c r="BH127" s="135"/>
      <c r="BI127" s="135"/>
    </row>
    <row r="128" spans="23:61">
      <c r="W128" s="135"/>
      <c r="X128" s="135"/>
      <c r="Y128" s="135"/>
      <c r="Z128" s="135"/>
      <c r="AA128" s="135"/>
      <c r="AB128" s="135"/>
      <c r="AC128" s="135"/>
      <c r="AD128" s="135"/>
      <c r="AE128" s="135"/>
      <c r="AF128" s="135"/>
      <c r="AG128" s="135"/>
      <c r="AH128" s="135"/>
      <c r="AI128" s="135"/>
      <c r="AJ128" s="135"/>
      <c r="AK128" s="135"/>
      <c r="AL128" s="135"/>
      <c r="AM128" s="135"/>
      <c r="AN128" s="135"/>
      <c r="AO128" s="135"/>
      <c r="AP128" s="135"/>
      <c r="AQ128" s="135"/>
      <c r="AR128" s="135"/>
      <c r="AS128" s="135"/>
      <c r="AT128" s="135"/>
      <c r="AU128" s="135"/>
      <c r="AV128" s="135"/>
      <c r="AW128" s="135"/>
      <c r="AX128" s="135"/>
      <c r="AY128" s="135"/>
      <c r="AZ128" s="135"/>
      <c r="BA128" s="135"/>
      <c r="BB128" s="135"/>
      <c r="BC128" s="135"/>
      <c r="BD128" s="135"/>
      <c r="BE128" s="135"/>
      <c r="BF128" s="135"/>
      <c r="BG128" s="135"/>
      <c r="BH128" s="135"/>
      <c r="BI128" s="135"/>
    </row>
    <row r="129" spans="23:61">
      <c r="W129" s="135"/>
      <c r="X129" s="135"/>
      <c r="Y129" s="135"/>
      <c r="Z129" s="135"/>
      <c r="AA129" s="135"/>
      <c r="AB129" s="135"/>
      <c r="AC129" s="135"/>
      <c r="AD129" s="135"/>
      <c r="AE129" s="135"/>
      <c r="AF129" s="135"/>
      <c r="AG129" s="135"/>
      <c r="AH129" s="135"/>
      <c r="AI129" s="135"/>
      <c r="AJ129" s="135"/>
      <c r="AK129" s="135"/>
      <c r="AL129" s="135"/>
      <c r="AM129" s="135"/>
      <c r="AN129" s="135"/>
      <c r="AO129" s="135"/>
      <c r="AP129" s="135"/>
      <c r="AQ129" s="135"/>
      <c r="AR129" s="135"/>
      <c r="AS129" s="135"/>
      <c r="AT129" s="135"/>
      <c r="AU129" s="135"/>
      <c r="AV129" s="135"/>
      <c r="AW129" s="135"/>
      <c r="AX129" s="135"/>
      <c r="AY129" s="135"/>
      <c r="AZ129" s="135"/>
      <c r="BA129" s="135"/>
      <c r="BB129" s="135"/>
      <c r="BC129" s="135"/>
      <c r="BD129" s="135"/>
      <c r="BE129" s="135"/>
      <c r="BF129" s="135"/>
      <c r="BG129" s="135"/>
      <c r="BH129" s="135"/>
      <c r="BI129" s="135"/>
    </row>
    <row r="130" spans="23:61">
      <c r="W130" s="135"/>
      <c r="X130" s="135"/>
      <c r="Y130" s="135"/>
      <c r="Z130" s="135"/>
      <c r="AA130" s="135"/>
      <c r="AB130" s="135"/>
      <c r="AC130" s="135"/>
      <c r="AD130" s="135"/>
      <c r="AE130" s="135"/>
      <c r="AF130" s="135"/>
      <c r="AG130" s="135"/>
      <c r="AH130" s="135"/>
      <c r="AI130" s="135"/>
      <c r="AJ130" s="135"/>
      <c r="AK130" s="135"/>
      <c r="AL130" s="135"/>
      <c r="AM130" s="135"/>
      <c r="AN130" s="135"/>
      <c r="AO130" s="135"/>
      <c r="AP130" s="135"/>
      <c r="AQ130" s="135"/>
      <c r="AR130" s="135"/>
      <c r="AS130" s="135"/>
      <c r="AT130" s="135"/>
      <c r="AU130" s="135"/>
      <c r="AV130" s="135"/>
      <c r="AW130" s="135"/>
      <c r="AX130" s="135"/>
      <c r="AY130" s="135"/>
      <c r="AZ130" s="135"/>
      <c r="BA130" s="135"/>
      <c r="BB130" s="135"/>
      <c r="BC130" s="135"/>
      <c r="BD130" s="135"/>
      <c r="BE130" s="135"/>
      <c r="BF130" s="135"/>
      <c r="BG130" s="135"/>
      <c r="BH130" s="135"/>
      <c r="BI130" s="135"/>
    </row>
    <row r="131" spans="23:61">
      <c r="W131" s="135"/>
      <c r="X131" s="135"/>
      <c r="Y131" s="135"/>
      <c r="Z131" s="135"/>
      <c r="AA131" s="135"/>
      <c r="AB131" s="135"/>
      <c r="AC131" s="135"/>
      <c r="AD131" s="135"/>
      <c r="AE131" s="135"/>
      <c r="AF131" s="135"/>
      <c r="AG131" s="135"/>
      <c r="AH131" s="135"/>
      <c r="AI131" s="135"/>
      <c r="AJ131" s="135"/>
      <c r="AK131" s="135"/>
      <c r="AL131" s="135"/>
      <c r="AM131" s="135"/>
      <c r="AN131" s="135"/>
      <c r="AO131" s="135"/>
      <c r="AP131" s="135"/>
      <c r="AQ131" s="135"/>
      <c r="AR131" s="135"/>
      <c r="AS131" s="135"/>
      <c r="AT131" s="135"/>
      <c r="AU131" s="135"/>
      <c r="AV131" s="135"/>
      <c r="AW131" s="135"/>
      <c r="AX131" s="135"/>
      <c r="AY131" s="135"/>
      <c r="AZ131" s="135"/>
      <c r="BA131" s="135"/>
      <c r="BB131" s="135"/>
      <c r="BC131" s="135"/>
      <c r="BD131" s="135"/>
      <c r="BE131" s="135"/>
      <c r="BF131" s="135"/>
      <c r="BG131" s="135"/>
      <c r="BH131" s="135"/>
      <c r="BI131" s="135"/>
    </row>
    <row r="132" spans="23:61">
      <c r="W132" s="135"/>
      <c r="X132" s="135"/>
      <c r="Y132" s="135"/>
      <c r="Z132" s="135"/>
      <c r="AA132" s="135"/>
      <c r="AB132" s="135"/>
      <c r="AC132" s="135"/>
      <c r="AD132" s="135"/>
      <c r="AE132" s="135"/>
      <c r="AF132" s="135"/>
      <c r="AG132" s="135"/>
      <c r="AH132" s="135"/>
      <c r="AI132" s="135"/>
      <c r="AJ132" s="135"/>
      <c r="AK132" s="135"/>
      <c r="AL132" s="135"/>
      <c r="AM132" s="135"/>
      <c r="AN132" s="135"/>
      <c r="AO132" s="135"/>
      <c r="AP132" s="135"/>
      <c r="AQ132" s="135"/>
      <c r="AR132" s="135"/>
      <c r="AS132" s="135"/>
      <c r="AT132" s="135"/>
      <c r="AU132" s="135"/>
      <c r="AV132" s="135"/>
      <c r="AW132" s="135"/>
      <c r="AX132" s="135"/>
      <c r="AY132" s="135"/>
      <c r="AZ132" s="135"/>
      <c r="BA132" s="135"/>
      <c r="BB132" s="135"/>
      <c r="BC132" s="135"/>
      <c r="BD132" s="135"/>
      <c r="BE132" s="135"/>
      <c r="BF132" s="135"/>
      <c r="BG132" s="135"/>
      <c r="BH132" s="135"/>
      <c r="BI132" s="135"/>
    </row>
    <row r="133" spans="23:61">
      <c r="W133" s="135"/>
      <c r="X133" s="135"/>
      <c r="Y133" s="135"/>
      <c r="Z133" s="135"/>
      <c r="AA133" s="135"/>
      <c r="AB133" s="135"/>
      <c r="AC133" s="135"/>
      <c r="AD133" s="135"/>
      <c r="AE133" s="135"/>
      <c r="AF133" s="135"/>
      <c r="AG133" s="135"/>
      <c r="AH133" s="135"/>
      <c r="AI133" s="135"/>
      <c r="AJ133" s="135"/>
      <c r="AK133" s="135"/>
      <c r="AL133" s="135"/>
      <c r="AM133" s="135"/>
      <c r="AN133" s="135"/>
      <c r="AO133" s="135"/>
      <c r="AP133" s="135"/>
      <c r="AQ133" s="135"/>
      <c r="AR133" s="135"/>
      <c r="AS133" s="135"/>
      <c r="AT133" s="135"/>
      <c r="AU133" s="135"/>
      <c r="AV133" s="135"/>
      <c r="AW133" s="135"/>
      <c r="AX133" s="135"/>
      <c r="AY133" s="135"/>
      <c r="AZ133" s="135"/>
      <c r="BA133" s="135"/>
      <c r="BB133" s="135"/>
      <c r="BC133" s="135"/>
      <c r="BD133" s="135"/>
      <c r="BE133" s="135"/>
      <c r="BF133" s="135"/>
      <c r="BG133" s="135"/>
      <c r="BH133" s="135"/>
      <c r="BI133" s="135"/>
    </row>
    <row r="134" spans="23:61">
      <c r="W134" s="135"/>
      <c r="X134" s="135"/>
      <c r="Y134" s="135"/>
      <c r="Z134" s="135"/>
      <c r="AA134" s="135"/>
      <c r="AB134" s="135"/>
      <c r="AC134" s="135"/>
      <c r="AD134" s="135"/>
      <c r="AE134" s="135"/>
      <c r="AF134" s="135"/>
      <c r="AG134" s="135"/>
      <c r="AH134" s="135"/>
      <c r="AI134" s="135"/>
      <c r="AJ134" s="135"/>
      <c r="AK134" s="135"/>
      <c r="AL134" s="135"/>
      <c r="AM134" s="135"/>
      <c r="AN134" s="135"/>
      <c r="AO134" s="135"/>
      <c r="AP134" s="135"/>
      <c r="AQ134" s="135"/>
      <c r="AR134" s="135"/>
      <c r="AS134" s="135"/>
      <c r="AT134" s="135"/>
      <c r="AU134" s="135"/>
      <c r="AV134" s="135"/>
      <c r="AW134" s="135"/>
      <c r="AX134" s="135"/>
      <c r="AY134" s="135"/>
      <c r="AZ134" s="135"/>
      <c r="BA134" s="135"/>
      <c r="BB134" s="135"/>
      <c r="BC134" s="135"/>
      <c r="BD134" s="135"/>
      <c r="BE134" s="135"/>
      <c r="BF134" s="135"/>
      <c r="BG134" s="135"/>
      <c r="BH134" s="135"/>
      <c r="BI134" s="135"/>
    </row>
    <row r="135" spans="23:61">
      <c r="W135" s="135"/>
      <c r="X135" s="135"/>
      <c r="Y135" s="135"/>
      <c r="Z135" s="135"/>
      <c r="AA135" s="135"/>
      <c r="AB135" s="135"/>
      <c r="AC135" s="135"/>
      <c r="AD135" s="135"/>
      <c r="AE135" s="135"/>
      <c r="AF135" s="135"/>
      <c r="AG135" s="135"/>
      <c r="AH135" s="135"/>
      <c r="AI135" s="135"/>
      <c r="AJ135" s="135"/>
      <c r="AK135" s="135"/>
      <c r="AL135" s="135"/>
      <c r="AM135" s="135"/>
      <c r="AN135" s="135"/>
      <c r="AO135" s="135"/>
      <c r="AP135" s="135"/>
      <c r="AQ135" s="135"/>
      <c r="AR135" s="135"/>
      <c r="AS135" s="135"/>
      <c r="AT135" s="135"/>
      <c r="AU135" s="135"/>
      <c r="AV135" s="135"/>
      <c r="AW135" s="135"/>
      <c r="AX135" s="135"/>
      <c r="AY135" s="135"/>
      <c r="AZ135" s="135"/>
      <c r="BA135" s="135"/>
      <c r="BB135" s="135"/>
      <c r="BC135" s="135"/>
      <c r="BD135" s="135"/>
      <c r="BE135" s="135"/>
      <c r="BF135" s="135"/>
      <c r="BG135" s="135"/>
      <c r="BH135" s="135"/>
      <c r="BI135" s="135"/>
    </row>
    <row r="136" spans="23:61">
      <c r="W136" s="135"/>
      <c r="X136" s="135"/>
      <c r="Y136" s="135"/>
      <c r="Z136" s="135"/>
      <c r="AA136" s="135"/>
      <c r="AB136" s="135"/>
      <c r="AC136" s="135"/>
      <c r="AD136" s="135"/>
      <c r="AE136" s="135"/>
      <c r="AF136" s="135"/>
      <c r="AG136" s="135"/>
      <c r="AH136" s="135"/>
      <c r="AI136" s="135"/>
      <c r="AJ136" s="135"/>
      <c r="AK136" s="135"/>
      <c r="AL136" s="135"/>
      <c r="AM136" s="135"/>
      <c r="AN136" s="135"/>
      <c r="AO136" s="135"/>
      <c r="AP136" s="135"/>
      <c r="AQ136" s="135"/>
      <c r="AR136" s="135"/>
      <c r="AS136" s="135"/>
      <c r="AT136" s="135"/>
      <c r="AU136" s="135"/>
      <c r="AV136" s="135"/>
      <c r="AW136" s="135"/>
      <c r="AX136" s="135"/>
      <c r="AY136" s="135"/>
      <c r="AZ136" s="135"/>
      <c r="BA136" s="135"/>
      <c r="BB136" s="135"/>
      <c r="BC136" s="135"/>
      <c r="BD136" s="135"/>
      <c r="BE136" s="135"/>
      <c r="BF136" s="135"/>
      <c r="BG136" s="135"/>
      <c r="BH136" s="135"/>
      <c r="BI136" s="135"/>
    </row>
    <row r="137" spans="23:61">
      <c r="W137" s="135"/>
      <c r="X137" s="135"/>
      <c r="Y137" s="135"/>
      <c r="Z137" s="135"/>
      <c r="AA137" s="135"/>
      <c r="AB137" s="135"/>
      <c r="AC137" s="135"/>
      <c r="AD137" s="135"/>
      <c r="AE137" s="135"/>
      <c r="AF137" s="135"/>
      <c r="AG137" s="135"/>
      <c r="AH137" s="135"/>
      <c r="AI137" s="135"/>
      <c r="AJ137" s="135"/>
      <c r="AK137" s="135"/>
      <c r="AL137" s="135"/>
      <c r="AM137" s="135"/>
      <c r="AN137" s="135"/>
      <c r="AO137" s="135"/>
      <c r="AP137" s="135"/>
      <c r="AQ137" s="135"/>
      <c r="AR137" s="135"/>
      <c r="AS137" s="135"/>
      <c r="AT137" s="135"/>
      <c r="AU137" s="135"/>
      <c r="AV137" s="135"/>
      <c r="AW137" s="135"/>
      <c r="AX137" s="135"/>
      <c r="AY137" s="135"/>
      <c r="AZ137" s="135"/>
      <c r="BA137" s="135"/>
      <c r="BB137" s="135"/>
      <c r="BC137" s="135"/>
      <c r="BD137" s="135"/>
      <c r="BE137" s="135"/>
      <c r="BF137" s="135"/>
      <c r="BG137" s="135"/>
      <c r="BH137" s="135"/>
      <c r="BI137" s="135"/>
    </row>
    <row r="138" spans="23:61">
      <c r="W138" s="135"/>
      <c r="X138" s="135"/>
      <c r="Y138" s="135"/>
      <c r="Z138" s="135"/>
      <c r="AA138" s="135"/>
      <c r="AB138" s="135"/>
      <c r="AC138" s="135"/>
      <c r="AD138" s="135"/>
      <c r="AE138" s="135"/>
      <c r="AF138" s="135"/>
      <c r="AG138" s="135"/>
      <c r="AH138" s="135"/>
      <c r="AI138" s="135"/>
      <c r="AJ138" s="135"/>
      <c r="AK138" s="135"/>
      <c r="AL138" s="135"/>
      <c r="AM138" s="135"/>
      <c r="AN138" s="135"/>
      <c r="AO138" s="135"/>
      <c r="AP138" s="135"/>
      <c r="AQ138" s="135"/>
      <c r="AR138" s="135"/>
      <c r="AS138" s="135"/>
      <c r="AT138" s="135"/>
      <c r="AU138" s="135"/>
      <c r="AV138" s="135"/>
      <c r="AW138" s="135"/>
      <c r="AX138" s="135"/>
      <c r="AY138" s="135"/>
      <c r="AZ138" s="135"/>
      <c r="BA138" s="135"/>
      <c r="BB138" s="135"/>
      <c r="BC138" s="135"/>
      <c r="BD138" s="135"/>
      <c r="BE138" s="135"/>
      <c r="BF138" s="135"/>
      <c r="BG138" s="135"/>
      <c r="BH138" s="135"/>
      <c r="BI138" s="135"/>
    </row>
    <row r="139" spans="23:61">
      <c r="W139" s="135"/>
      <c r="X139" s="135"/>
      <c r="Y139" s="135"/>
      <c r="Z139" s="135"/>
      <c r="AA139" s="135"/>
      <c r="AB139" s="135"/>
      <c r="AC139" s="135"/>
      <c r="AD139" s="135"/>
      <c r="AE139" s="135"/>
      <c r="AF139" s="135"/>
      <c r="AG139" s="135"/>
      <c r="AH139" s="135"/>
      <c r="AI139" s="135"/>
      <c r="AJ139" s="135"/>
      <c r="AK139" s="135"/>
      <c r="AL139" s="135"/>
      <c r="AM139" s="135"/>
      <c r="AN139" s="135"/>
      <c r="AO139" s="135"/>
      <c r="AP139" s="135"/>
      <c r="AQ139" s="135"/>
      <c r="AR139" s="135"/>
      <c r="AS139" s="135"/>
      <c r="AT139" s="135"/>
      <c r="AU139" s="135"/>
      <c r="AV139" s="135"/>
      <c r="AW139" s="135"/>
      <c r="AX139" s="135"/>
      <c r="AY139" s="135"/>
      <c r="AZ139" s="135"/>
      <c r="BA139" s="135"/>
      <c r="BB139" s="135"/>
      <c r="BC139" s="135"/>
      <c r="BD139" s="135"/>
      <c r="BE139" s="135"/>
      <c r="BF139" s="135"/>
      <c r="BG139" s="135"/>
      <c r="BH139" s="135"/>
      <c r="BI139" s="135"/>
    </row>
    <row r="140" spans="23:61">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135"/>
      <c r="AV140" s="135"/>
      <c r="AW140" s="135"/>
      <c r="AX140" s="135"/>
      <c r="AY140" s="135"/>
      <c r="AZ140" s="135"/>
      <c r="BA140" s="135"/>
      <c r="BB140" s="135"/>
      <c r="BC140" s="135"/>
      <c r="BD140" s="135"/>
      <c r="BE140" s="135"/>
      <c r="BF140" s="135"/>
      <c r="BG140" s="135"/>
      <c r="BH140" s="135"/>
      <c r="BI140" s="135"/>
    </row>
    <row r="141" spans="23:61">
      <c r="W141" s="135"/>
      <c r="X141" s="135"/>
      <c r="Y141" s="135"/>
      <c r="Z141" s="135"/>
      <c r="AA141" s="135"/>
      <c r="AB141" s="135"/>
      <c r="AC141" s="135"/>
      <c r="AD141" s="135"/>
      <c r="AE141" s="135"/>
      <c r="AF141" s="135"/>
      <c r="AG141" s="135"/>
      <c r="AH141" s="135"/>
      <c r="AI141" s="135"/>
      <c r="AJ141" s="135"/>
      <c r="AK141" s="135"/>
      <c r="AL141" s="135"/>
      <c r="AM141" s="135"/>
      <c r="AN141" s="135"/>
      <c r="AO141" s="135"/>
      <c r="AP141" s="135"/>
      <c r="AQ141" s="135"/>
      <c r="AR141" s="135"/>
      <c r="AS141" s="135"/>
      <c r="AT141" s="135"/>
      <c r="AU141" s="135"/>
      <c r="AV141" s="135"/>
      <c r="AW141" s="135"/>
      <c r="AX141" s="135"/>
      <c r="AY141" s="135"/>
      <c r="AZ141" s="135"/>
      <c r="BA141" s="135"/>
      <c r="BB141" s="135"/>
      <c r="BC141" s="135"/>
      <c r="BD141" s="135"/>
      <c r="BE141" s="135"/>
      <c r="BF141" s="135"/>
      <c r="BG141" s="135"/>
      <c r="BH141" s="135"/>
      <c r="BI141" s="135"/>
    </row>
  </sheetData>
  <mergeCells count="42">
    <mergeCell ref="I22:J26"/>
    <mergeCell ref="K22:L26"/>
    <mergeCell ref="K32:L36"/>
    <mergeCell ref="B27:B31"/>
    <mergeCell ref="C27:D31"/>
    <mergeCell ref="E27:F31"/>
    <mergeCell ref="G27:H31"/>
    <mergeCell ref="I27:J31"/>
    <mergeCell ref="K27:L31"/>
    <mergeCell ref="B32:B36"/>
    <mergeCell ref="C32:D36"/>
    <mergeCell ref="E32:F36"/>
    <mergeCell ref="G32:H36"/>
    <mergeCell ref="I32:J36"/>
    <mergeCell ref="I12:J16"/>
    <mergeCell ref="K12:L16"/>
    <mergeCell ref="B17:B21"/>
    <mergeCell ref="C17:D21"/>
    <mergeCell ref="E17:F21"/>
    <mergeCell ref="G17:H21"/>
    <mergeCell ref="I17:J21"/>
    <mergeCell ref="K17:L21"/>
    <mergeCell ref="A12:A36"/>
    <mergeCell ref="B12:B16"/>
    <mergeCell ref="C12:D16"/>
    <mergeCell ref="E12:F16"/>
    <mergeCell ref="G12:H16"/>
    <mergeCell ref="B22:B26"/>
    <mergeCell ref="C22:D26"/>
    <mergeCell ref="E22:F26"/>
    <mergeCell ref="G22:H26"/>
    <mergeCell ref="A2:B2"/>
    <mergeCell ref="C2:D2"/>
    <mergeCell ref="A3:B3"/>
    <mergeCell ref="C3:D3"/>
    <mergeCell ref="A8:B11"/>
    <mergeCell ref="C8:L9"/>
    <mergeCell ref="C10:D11"/>
    <mergeCell ref="E10:F11"/>
    <mergeCell ref="G10:H11"/>
    <mergeCell ref="I10:J11"/>
    <mergeCell ref="K10:L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4EB81E-DC92-4FD6-B9DD-DAE4F77E8269}">
  <dimension ref="A1:G26"/>
  <sheetViews>
    <sheetView topLeftCell="A2" workbookViewId="0">
      <selection activeCell="O18" sqref="O18"/>
    </sheetView>
  </sheetViews>
  <sheetFormatPr defaultColWidth="9.140625" defaultRowHeight="15"/>
  <cols>
    <col min="1" max="1" width="26.42578125" style="20" customWidth="1"/>
    <col min="2" max="5" width="16" style="19" customWidth="1"/>
    <col min="6" max="16384" width="9.140625" style="20"/>
  </cols>
  <sheetData>
    <row r="1" spans="1:7" s="17" customFormat="1" ht="30.75" thickBot="1">
      <c r="A1" s="166" t="s">
        <v>86</v>
      </c>
      <c r="B1" s="166"/>
      <c r="C1" s="167" t="s">
        <v>117</v>
      </c>
      <c r="D1" s="168"/>
      <c r="E1" s="168"/>
      <c r="F1" s="169"/>
    </row>
    <row r="2" spans="1:7" ht="15.75" thickBot="1">
      <c r="A2" s="18" t="s">
        <v>87</v>
      </c>
    </row>
    <row r="3" spans="1:7" ht="15.75" thickBot="1">
      <c r="B3" s="21" t="s">
        <v>88</v>
      </c>
      <c r="C3" s="22"/>
      <c r="D3" s="23">
        <v>9</v>
      </c>
      <c r="E3" s="24" t="s">
        <v>89</v>
      </c>
    </row>
    <row r="4" spans="1:7" ht="15.75" thickBot="1">
      <c r="A4" s="25"/>
      <c r="B4" s="26" t="s">
        <v>90</v>
      </c>
      <c r="C4" s="26" t="s">
        <v>91</v>
      </c>
      <c r="D4" s="26" t="s">
        <v>92</v>
      </c>
      <c r="E4" s="26" t="s">
        <v>93</v>
      </c>
    </row>
    <row r="5" spans="1:7" ht="15.75" thickBot="1">
      <c r="A5" s="27" t="s">
        <v>94</v>
      </c>
      <c r="B5" s="28" t="s">
        <v>95</v>
      </c>
      <c r="C5" s="29">
        <f>'[1]Alt 1.'!M16</f>
        <v>2560000</v>
      </c>
      <c r="D5" s="30">
        <f>'[1]Alt 2.'!M16</f>
        <v>1666000</v>
      </c>
      <c r="E5" s="31">
        <f>'[1]Alt 3.'!M16</f>
        <v>1200000</v>
      </c>
    </row>
    <row r="6" spans="1:7" ht="15.75" hidden="1" thickTop="1">
      <c r="A6" s="32" t="s">
        <v>96</v>
      </c>
      <c r="B6" s="33" t="e">
        <f>'[1]Do Nothing'!#REF!</f>
        <v>#REF!</v>
      </c>
      <c r="C6" s="34" t="e">
        <f>'[1]Alt 1.'!#REF!</f>
        <v>#REF!</v>
      </c>
      <c r="D6" s="35" t="e">
        <f>'[1]Alt 2.'!#REF!</f>
        <v>#REF!</v>
      </c>
      <c r="E6" s="36" t="e">
        <f>'[1]Alt 3.'!#REF!</f>
        <v>#REF!</v>
      </c>
    </row>
    <row r="7" spans="1:7" ht="15.75" hidden="1" thickTop="1">
      <c r="A7" s="32" t="s">
        <v>97</v>
      </c>
      <c r="B7" s="33" t="e">
        <f>'[1]Do Nothing'!#REF!</f>
        <v>#REF!</v>
      </c>
      <c r="C7" s="34" t="e">
        <f>'[1]Alt 1.'!#REF!</f>
        <v>#REF!</v>
      </c>
      <c r="D7" s="35" t="e">
        <f>'[1]Alt 2.'!#REF!</f>
        <v>#REF!</v>
      </c>
      <c r="E7" s="36" t="e">
        <f>'[1]Alt 3.'!#REF!</f>
        <v>#REF!</v>
      </c>
    </row>
    <row r="8" spans="1:7" ht="15.75" hidden="1" thickTop="1">
      <c r="A8" s="32" t="s">
        <v>98</v>
      </c>
      <c r="B8" s="33" t="e">
        <f>'[1]Do Nothing'!#REF!</f>
        <v>#REF!</v>
      </c>
      <c r="C8" s="34" t="e">
        <f>'[1]Alt 1.'!#REF!</f>
        <v>#REF!</v>
      </c>
      <c r="D8" s="35" t="e">
        <f>'[1]Alt 2.'!#REF!</f>
        <v>#REF!</v>
      </c>
      <c r="E8" s="36" t="e">
        <f>'[1]Alt 3.'!#REF!</f>
        <v>#REF!</v>
      </c>
    </row>
    <row r="9" spans="1:7" ht="15.75" hidden="1" thickTop="1">
      <c r="A9" s="32" t="s">
        <v>99</v>
      </c>
      <c r="B9" s="33">
        <f>'[1]Do Nothing'!M4</f>
        <v>8100000</v>
      </c>
      <c r="C9" s="34">
        <f>'[1]Alt 1.'!M18</f>
        <v>3900000</v>
      </c>
      <c r="D9" s="35">
        <f>'[1]Alt 2.'!M18</f>
        <v>5250000</v>
      </c>
      <c r="E9" s="36">
        <f>'[1]Alt 3.'!M18</f>
        <v>6228000</v>
      </c>
    </row>
    <row r="10" spans="1:7" ht="15.75" hidden="1" thickTop="1">
      <c r="A10" s="32" t="s">
        <v>100</v>
      </c>
      <c r="B10" s="33" t="e">
        <f>'[1]Do Nothing'!#REF!</f>
        <v>#REF!</v>
      </c>
      <c r="C10" s="34" t="e">
        <f>'[1]Alt 1.'!#REF!</f>
        <v>#REF!</v>
      </c>
      <c r="D10" s="35" t="e">
        <f>'[1]Alt 2.'!#REF!</f>
        <v>#REF!</v>
      </c>
      <c r="E10" s="36" t="e">
        <f>'[1]Alt 3.'!#REF!</f>
        <v>#REF!</v>
      </c>
    </row>
    <row r="11" spans="1:7" ht="15.75" hidden="1" thickTop="1">
      <c r="A11" s="32" t="s">
        <v>101</v>
      </c>
      <c r="B11" s="33" t="e">
        <f>'[1]Do Nothing'!#REF!</f>
        <v>#REF!</v>
      </c>
      <c r="C11" s="34" t="e">
        <f>'[1]Alt 1.'!#REF!</f>
        <v>#REF!</v>
      </c>
      <c r="D11" s="35" t="e">
        <f>'[1]Alt 2.'!#REF!</f>
        <v>#REF!</v>
      </c>
      <c r="E11" s="36" t="e">
        <f>'[1]Alt 3.'!#REF!</f>
        <v>#REF!</v>
      </c>
    </row>
    <row r="12" spans="1:7" ht="15.75" hidden="1" thickTop="1">
      <c r="A12" s="32" t="s">
        <v>102</v>
      </c>
      <c r="B12" s="33" t="e">
        <f>'[1]Do Nothing'!#REF!</f>
        <v>#REF!</v>
      </c>
      <c r="C12" s="34" t="e">
        <f>'[1]Alt 1.'!#REF!</f>
        <v>#REF!</v>
      </c>
      <c r="D12" s="35" t="e">
        <f>'[1]Alt 2.'!#REF!</f>
        <v>#REF!</v>
      </c>
      <c r="E12" s="36" t="e">
        <f>'[1]Alt 3.'!#REF!</f>
        <v>#REF!</v>
      </c>
    </row>
    <row r="13" spans="1:7" ht="15.75" hidden="1" thickTop="1">
      <c r="A13" s="32" t="s">
        <v>103</v>
      </c>
      <c r="B13" s="33" t="e">
        <f>'[1]Do Nothing'!#REF!</f>
        <v>#REF!</v>
      </c>
      <c r="C13" s="34" t="e">
        <f>'[1]Alt 1.'!#REF!</f>
        <v>#REF!</v>
      </c>
      <c r="D13" s="35" t="e">
        <f>'[1]Alt 2.'!#REF!</f>
        <v>#REF!</v>
      </c>
      <c r="E13" s="36" t="e">
        <f>'[1]Alt 3.'!#REF!</f>
        <v>#REF!</v>
      </c>
    </row>
    <row r="14" spans="1:7" ht="15.75" hidden="1" thickTop="1">
      <c r="A14" s="32" t="s">
        <v>104</v>
      </c>
      <c r="B14" s="33" t="e">
        <f>'[1]Do Nothing'!#REF!</f>
        <v>#REF!</v>
      </c>
      <c r="C14" s="34" t="e">
        <f>'[1]Alt 1.'!#REF!</f>
        <v>#REF!</v>
      </c>
      <c r="D14" s="35" t="e">
        <f>'[1]Alt 2.'!#REF!</f>
        <v>#REF!</v>
      </c>
      <c r="E14" s="36" t="e">
        <f>'[1]Alt 3.'!#REF!</f>
        <v>#REF!</v>
      </c>
    </row>
    <row r="15" spans="1:7" s="37" customFormat="1" ht="15.75" hidden="1" thickTop="1">
      <c r="A15" s="32" t="s">
        <v>105</v>
      </c>
      <c r="B15" s="33" t="e">
        <f>'[1]Do Nothing'!#REF!</f>
        <v>#REF!</v>
      </c>
      <c r="C15" s="34" t="e">
        <f>'[1]Alt 1.'!#REF!</f>
        <v>#REF!</v>
      </c>
      <c r="D15" s="35" t="e">
        <f>'[1]Alt 2.'!#REF!</f>
        <v>#REF!</v>
      </c>
      <c r="E15" s="36" t="e">
        <f>'[1]Alt 3.'!#REF!</f>
        <v>#REF!</v>
      </c>
      <c r="F15" s="20"/>
      <c r="G15" s="37" t="s">
        <v>106</v>
      </c>
    </row>
    <row r="16" spans="1:7" ht="15.75" hidden="1" thickTop="1">
      <c r="A16" s="32" t="s">
        <v>107</v>
      </c>
      <c r="B16" s="33" t="e">
        <f>'[1]Do Nothing'!#REF!</f>
        <v>#REF!</v>
      </c>
      <c r="C16" s="34" t="e">
        <f>'[1]Alt 1.'!#REF!</f>
        <v>#REF!</v>
      </c>
      <c r="D16" s="35" t="e">
        <f>'[1]Alt 2.'!#REF!</f>
        <v>#REF!</v>
      </c>
      <c r="E16" s="36" t="e">
        <f>'[1]Alt 3.'!#REF!</f>
        <v>#REF!</v>
      </c>
    </row>
    <row r="17" spans="1:6" ht="15.75" hidden="1" thickTop="1">
      <c r="A17" s="32" t="s">
        <v>108</v>
      </c>
      <c r="B17" s="33" t="e">
        <f>'[1]Do Nothing'!#REF!</f>
        <v>#REF!</v>
      </c>
      <c r="C17" s="34" t="e">
        <f>'[1]Alt 1.'!#REF!</f>
        <v>#REF!</v>
      </c>
      <c r="D17" s="35" t="e">
        <f>'[1]Alt 2.'!#REF!</f>
        <v>#REF!</v>
      </c>
      <c r="E17" s="36" t="e">
        <f>'[1]Alt 3.'!#REF!</f>
        <v>#REF!</v>
      </c>
    </row>
    <row r="18" spans="1:6" ht="16.5" thickTop="1" thickBot="1">
      <c r="A18" s="27" t="s">
        <v>109</v>
      </c>
      <c r="B18" s="38">
        <f>'[1]Do Nothing'!M5</f>
        <v>8100000</v>
      </c>
      <c r="C18" s="39">
        <f>'[1]Alt 1.'!M20</f>
        <v>3900000</v>
      </c>
      <c r="D18" s="40">
        <f>'[1]Alt 2.'!M20</f>
        <v>5250000</v>
      </c>
      <c r="E18" s="41">
        <f>'[1]Alt 3.'!M20</f>
        <v>6228000</v>
      </c>
      <c r="F18" s="42"/>
    </row>
    <row r="19" spans="1:6" ht="16.5" thickTop="1" thickBot="1">
      <c r="A19" s="43" t="s">
        <v>110</v>
      </c>
      <c r="B19" s="44">
        <f>'[1]Do Nothing'!M7</f>
        <v>8100000</v>
      </c>
      <c r="C19" s="45">
        <f>'[1]Alt 1.'!M22</f>
        <v>6460000</v>
      </c>
      <c r="D19" s="46">
        <f>'[1]Alt 2.'!M22</f>
        <v>6916000</v>
      </c>
      <c r="E19" s="47">
        <f>'[1]Alt 3.'!M22</f>
        <v>7428000</v>
      </c>
      <c r="F19" s="42"/>
    </row>
    <row r="20" spans="1:6" ht="15.75" hidden="1" thickTop="1">
      <c r="A20" s="48" t="s">
        <v>111</v>
      </c>
      <c r="B20" s="49" t="e">
        <f>'[1]Do Nothing'!#REF!</f>
        <v>#REF!</v>
      </c>
      <c r="C20" s="50">
        <f>'[1]Alt 1.'!M26</f>
        <v>4200000</v>
      </c>
      <c r="D20" s="51">
        <f>'[1]Alt 2.'!M26</f>
        <v>2850000</v>
      </c>
      <c r="E20" s="52">
        <f>'[1]Alt 3.'!M26</f>
        <v>1872000</v>
      </c>
    </row>
    <row r="21" spans="1:6" ht="15.75" hidden="1" thickTop="1">
      <c r="A21" s="48" t="s">
        <v>112</v>
      </c>
      <c r="B21" s="49" t="e">
        <f>SUM('[1]Do Nothing'!#REF!:'[1]Do Nothing'!#REF!)</f>
        <v>#REF!</v>
      </c>
      <c r="C21" s="50" t="e">
        <f>SUM('[1]Alt 1.'!M27:'[1]Alt 1.'!#REF!)</f>
        <v>#REF!</v>
      </c>
      <c r="D21" s="51" t="e">
        <f>SUM('[1]Alt 2.'!M27:'[1]Alt 2.'!#REF!)</f>
        <v>#REF!</v>
      </c>
      <c r="E21" s="52" t="e">
        <f>SUM('[1]Alt 3.'!M27:'[1]Alt 3.'!#REF!)</f>
        <v>#REF!</v>
      </c>
    </row>
    <row r="22" spans="1:6" ht="15.75" thickTop="1">
      <c r="A22" s="53" t="s">
        <v>113</v>
      </c>
      <c r="B22" s="28" t="s">
        <v>95</v>
      </c>
      <c r="C22" s="50">
        <f>IF('[1]Alt 1.'!M16&gt;0,'[1]Alt 1.'!M31,0)</f>
        <v>4900000</v>
      </c>
      <c r="D22" s="51">
        <f>IF('[1]Alt 2.'!M16&gt;0,'[1]Alt 2.'!M31,0)</f>
        <v>4050000</v>
      </c>
      <c r="E22" s="52">
        <f>IF('[1]Alt 3.'!M16&gt;0,'[1]Alt 3.'!M31,0)</f>
        <v>2672000</v>
      </c>
    </row>
    <row r="23" spans="1:6">
      <c r="A23" s="53" t="s">
        <v>114</v>
      </c>
      <c r="B23" s="28" t="s">
        <v>95</v>
      </c>
      <c r="C23" s="50">
        <f>C22-C5</f>
        <v>2340000</v>
      </c>
      <c r="D23" s="51">
        <f>D22-D5</f>
        <v>2384000</v>
      </c>
      <c r="E23" s="52">
        <f>E22-E5</f>
        <v>1472000</v>
      </c>
    </row>
    <row r="24" spans="1:6" ht="15.75" thickBot="1">
      <c r="A24" s="54" t="s">
        <v>115</v>
      </c>
      <c r="B24" s="55">
        <v>0</v>
      </c>
      <c r="C24" s="56">
        <f>'[1]Alt 1.'!M37</f>
        <v>0.9140625</v>
      </c>
      <c r="D24" s="57">
        <f>'[1]Alt 2.'!M37</f>
        <v>1.4309723889555823</v>
      </c>
      <c r="E24" s="58">
        <f>'[1]Alt 3.'!M37</f>
        <v>1.2266666666666666</v>
      </c>
    </row>
    <row r="25" spans="1:6" ht="15.75" thickBot="1">
      <c r="A25" s="43" t="s">
        <v>116</v>
      </c>
      <c r="B25" s="59" t="s">
        <v>95</v>
      </c>
      <c r="C25" s="23">
        <v>2029</v>
      </c>
      <c r="D25" s="23">
        <v>2029</v>
      </c>
      <c r="E25" s="23">
        <v>2028</v>
      </c>
    </row>
    <row r="26" spans="1:6" ht="15.75" thickTop="1"/>
  </sheetData>
  <mergeCells count="2">
    <mergeCell ref="A1:B1"/>
    <mergeCell ref="C1:F1"/>
  </mergeCell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78BA4-C6AD-4957-8FD1-762993E85A88}">
  <dimension ref="B2:J37"/>
  <sheetViews>
    <sheetView tabSelected="1" topLeftCell="A13" workbookViewId="0">
      <selection activeCell="P11" sqref="P11"/>
    </sheetView>
  </sheetViews>
  <sheetFormatPr defaultColWidth="8.85546875" defaultRowHeight="15"/>
  <cols>
    <col min="1" max="1" width="2.140625" customWidth="1"/>
    <col min="2" max="2" width="15" customWidth="1"/>
    <col min="3" max="10" width="12.85546875" customWidth="1"/>
  </cols>
  <sheetData>
    <row r="2" spans="2:10" ht="27" customHeight="1">
      <c r="B2" s="274" t="s">
        <v>46</v>
      </c>
      <c r="C2" s="275"/>
      <c r="D2" s="275"/>
      <c r="E2" s="275"/>
      <c r="F2" s="275"/>
      <c r="G2" s="275"/>
      <c r="H2" s="275"/>
      <c r="I2" s="275"/>
      <c r="J2" s="275"/>
    </row>
    <row r="4" spans="2:10" ht="15" customHeight="1">
      <c r="B4" s="276" t="s">
        <v>47</v>
      </c>
      <c r="C4" s="275"/>
      <c r="D4" s="275"/>
      <c r="E4" s="275"/>
      <c r="F4" s="275"/>
      <c r="G4" s="275"/>
      <c r="H4" s="275"/>
      <c r="I4" s="275"/>
      <c r="J4" s="275"/>
    </row>
    <row r="5" spans="2:10" ht="15" customHeight="1">
      <c r="B5" s="3" t="s">
        <v>48</v>
      </c>
      <c r="C5" s="3" t="s">
        <v>49</v>
      </c>
      <c r="D5" s="3" t="s">
        <v>50</v>
      </c>
      <c r="E5" s="3" t="s">
        <v>51</v>
      </c>
      <c r="F5" s="3" t="s">
        <v>52</v>
      </c>
      <c r="G5" s="3" t="s">
        <v>53</v>
      </c>
      <c r="H5" s="3" t="s">
        <v>54</v>
      </c>
      <c r="I5" s="3" t="s">
        <v>55</v>
      </c>
      <c r="J5" s="3" t="s">
        <v>56</v>
      </c>
    </row>
    <row r="6" spans="2:10" ht="15" customHeight="1">
      <c r="B6" s="4" t="s">
        <v>57</v>
      </c>
      <c r="C6" s="5">
        <v>285000</v>
      </c>
      <c r="D6" s="5">
        <v>119700</v>
      </c>
      <c r="E6" s="6">
        <f t="shared" ref="E6:G17" si="0">C6-D6</f>
        <v>165300</v>
      </c>
      <c r="F6" s="5">
        <v>95000</v>
      </c>
      <c r="G6" s="6">
        <f t="shared" si="0"/>
        <v>70300</v>
      </c>
      <c r="H6" s="5">
        <v>300000</v>
      </c>
      <c r="I6" s="7">
        <v>142</v>
      </c>
      <c r="J6" s="6">
        <f t="shared" ref="J6:J17" si="1">C6/I6</f>
        <v>2007.0422535211267</v>
      </c>
    </row>
    <row r="7" spans="2:10" ht="15" customHeight="1">
      <c r="B7" s="8" t="s">
        <v>58</v>
      </c>
      <c r="C7" s="9">
        <v>310000</v>
      </c>
      <c r="D7" s="9">
        <v>127100</v>
      </c>
      <c r="E7" s="10">
        <f t="shared" si="0"/>
        <v>182900</v>
      </c>
      <c r="F7" s="9">
        <v>98000</v>
      </c>
      <c r="G7" s="10">
        <f t="shared" si="0"/>
        <v>84900</v>
      </c>
      <c r="H7" s="9">
        <v>320000</v>
      </c>
      <c r="I7" s="11">
        <v>155</v>
      </c>
      <c r="J7" s="10">
        <f t="shared" si="1"/>
        <v>2000</v>
      </c>
    </row>
    <row r="8" spans="2:10" ht="15" customHeight="1">
      <c r="B8" s="4" t="s">
        <v>59</v>
      </c>
      <c r="C8" s="5">
        <v>340000</v>
      </c>
      <c r="D8" s="5">
        <v>136000</v>
      </c>
      <c r="E8" s="6">
        <f t="shared" si="0"/>
        <v>204000</v>
      </c>
      <c r="F8" s="5">
        <v>102000</v>
      </c>
      <c r="G8" s="6">
        <f t="shared" si="0"/>
        <v>102000</v>
      </c>
      <c r="H8" s="5">
        <v>340000</v>
      </c>
      <c r="I8" s="7">
        <v>170</v>
      </c>
      <c r="J8" s="6">
        <f t="shared" si="1"/>
        <v>2000</v>
      </c>
    </row>
    <row r="9" spans="2:10" ht="15" customHeight="1">
      <c r="B9" s="8" t="s">
        <v>60</v>
      </c>
      <c r="C9" s="9">
        <v>325000</v>
      </c>
      <c r="D9" s="9">
        <v>136500</v>
      </c>
      <c r="E9" s="10">
        <f t="shared" si="0"/>
        <v>188500</v>
      </c>
      <c r="F9" s="9">
        <v>100000</v>
      </c>
      <c r="G9" s="10">
        <f t="shared" si="0"/>
        <v>88500</v>
      </c>
      <c r="H9" s="9">
        <v>360000</v>
      </c>
      <c r="I9" s="11">
        <v>163</v>
      </c>
      <c r="J9" s="10">
        <f t="shared" si="1"/>
        <v>1993.8650306748466</v>
      </c>
    </row>
    <row r="10" spans="2:10" ht="15" customHeight="1">
      <c r="B10" s="4" t="s">
        <v>61</v>
      </c>
      <c r="C10" s="5">
        <v>365000</v>
      </c>
      <c r="D10" s="5">
        <v>146000</v>
      </c>
      <c r="E10" s="6">
        <f t="shared" si="0"/>
        <v>219000</v>
      </c>
      <c r="F10" s="5">
        <v>105000</v>
      </c>
      <c r="G10" s="6">
        <f t="shared" si="0"/>
        <v>114000</v>
      </c>
      <c r="H10" s="5">
        <v>380000</v>
      </c>
      <c r="I10" s="7">
        <v>182</v>
      </c>
      <c r="J10" s="6">
        <f t="shared" si="1"/>
        <v>2005.4945054945056</v>
      </c>
    </row>
    <row r="11" spans="2:10" ht="15" customHeight="1">
      <c r="B11" s="8" t="s">
        <v>62</v>
      </c>
      <c r="C11" s="9">
        <v>390000</v>
      </c>
      <c r="D11" s="9">
        <v>152100</v>
      </c>
      <c r="E11" s="10">
        <f t="shared" si="0"/>
        <v>237900</v>
      </c>
      <c r="F11" s="9">
        <v>108000</v>
      </c>
      <c r="G11" s="10">
        <f t="shared" si="0"/>
        <v>129900</v>
      </c>
      <c r="H11" s="9">
        <v>400000</v>
      </c>
      <c r="I11" s="11">
        <v>195</v>
      </c>
      <c r="J11" s="10">
        <f t="shared" si="1"/>
        <v>2000</v>
      </c>
    </row>
    <row r="12" spans="2:10" ht="15" customHeight="1">
      <c r="B12" s="4" t="s">
        <v>63</v>
      </c>
      <c r="C12" s="5">
        <v>375000</v>
      </c>
      <c r="D12" s="5">
        <v>153750</v>
      </c>
      <c r="E12" s="6">
        <f t="shared" si="0"/>
        <v>221250</v>
      </c>
      <c r="F12" s="5">
        <v>106000</v>
      </c>
      <c r="G12" s="6">
        <f t="shared" si="0"/>
        <v>115250</v>
      </c>
      <c r="H12" s="5">
        <v>400000</v>
      </c>
      <c r="I12" s="7">
        <v>188</v>
      </c>
      <c r="J12" s="6">
        <f t="shared" si="1"/>
        <v>1994.6808510638298</v>
      </c>
    </row>
    <row r="13" spans="2:10" ht="15" customHeight="1">
      <c r="B13" s="8" t="s">
        <v>64</v>
      </c>
      <c r="C13" s="9">
        <v>410000</v>
      </c>
      <c r="D13" s="9">
        <v>159900</v>
      </c>
      <c r="E13" s="10">
        <f t="shared" si="0"/>
        <v>250100</v>
      </c>
      <c r="F13" s="9">
        <v>112000</v>
      </c>
      <c r="G13" s="10">
        <f t="shared" si="0"/>
        <v>138100</v>
      </c>
      <c r="H13" s="9">
        <v>420000</v>
      </c>
      <c r="I13" s="11">
        <v>205</v>
      </c>
      <c r="J13" s="10">
        <f t="shared" si="1"/>
        <v>2000</v>
      </c>
    </row>
    <row r="14" spans="2:10" ht="15" customHeight="1">
      <c r="B14" s="4" t="s">
        <v>65</v>
      </c>
      <c r="C14" s="5">
        <v>425000</v>
      </c>
      <c r="D14" s="5">
        <v>161500</v>
      </c>
      <c r="E14" s="6">
        <f t="shared" si="0"/>
        <v>263500</v>
      </c>
      <c r="F14" s="5">
        <v>115000</v>
      </c>
      <c r="G14" s="6">
        <f t="shared" si="0"/>
        <v>148500</v>
      </c>
      <c r="H14" s="5">
        <v>440000</v>
      </c>
      <c r="I14" s="7">
        <v>213</v>
      </c>
      <c r="J14" s="6">
        <f t="shared" si="1"/>
        <v>1995.3051643192489</v>
      </c>
    </row>
    <row r="15" spans="2:10" ht="15" customHeight="1">
      <c r="B15" s="8" t="s">
        <v>66</v>
      </c>
      <c r="C15" s="9">
        <v>450000</v>
      </c>
      <c r="D15" s="9">
        <v>171000</v>
      </c>
      <c r="E15" s="10">
        <f t="shared" si="0"/>
        <v>279000</v>
      </c>
      <c r="F15" s="9">
        <v>118000</v>
      </c>
      <c r="G15" s="10">
        <f t="shared" si="0"/>
        <v>161000</v>
      </c>
      <c r="H15" s="9">
        <v>460000</v>
      </c>
      <c r="I15" s="11">
        <v>225</v>
      </c>
      <c r="J15" s="10">
        <f t="shared" si="1"/>
        <v>2000</v>
      </c>
    </row>
    <row r="16" spans="2:10" ht="15" customHeight="1">
      <c r="B16" s="4" t="s">
        <v>67</v>
      </c>
      <c r="C16" s="5">
        <v>470000</v>
      </c>
      <c r="D16" s="5">
        <v>173900</v>
      </c>
      <c r="E16" s="6">
        <f t="shared" si="0"/>
        <v>296100</v>
      </c>
      <c r="F16" s="5">
        <v>120000</v>
      </c>
      <c r="G16" s="6">
        <f t="shared" si="0"/>
        <v>176100</v>
      </c>
      <c r="H16" s="5">
        <v>480000</v>
      </c>
      <c r="I16" s="7">
        <v>235</v>
      </c>
      <c r="J16" s="6">
        <f t="shared" si="1"/>
        <v>2000</v>
      </c>
    </row>
    <row r="17" spans="2:10" ht="15" customHeight="1">
      <c r="B17" s="8" t="s">
        <v>68</v>
      </c>
      <c r="C17" s="9">
        <v>520000</v>
      </c>
      <c r="D17" s="9">
        <v>187200</v>
      </c>
      <c r="E17" s="10">
        <f t="shared" si="0"/>
        <v>332800</v>
      </c>
      <c r="F17" s="9">
        <v>125000</v>
      </c>
      <c r="G17" s="10">
        <f t="shared" si="0"/>
        <v>207800</v>
      </c>
      <c r="H17" s="9">
        <v>500000</v>
      </c>
      <c r="I17" s="11">
        <v>260</v>
      </c>
      <c r="J17" s="10">
        <f t="shared" si="1"/>
        <v>2000</v>
      </c>
    </row>
    <row r="18" spans="2:10" ht="15" customHeight="1">
      <c r="B18" s="12" t="s">
        <v>45</v>
      </c>
      <c r="C18" s="13">
        <f t="shared" ref="C18:I18" si="2">SUM(C6:C17)</f>
        <v>4665000</v>
      </c>
      <c r="D18" s="13">
        <f t="shared" si="2"/>
        <v>1824650</v>
      </c>
      <c r="E18" s="13">
        <f t="shared" si="2"/>
        <v>2840350</v>
      </c>
      <c r="F18" s="13">
        <f t="shared" si="2"/>
        <v>1304000</v>
      </c>
      <c r="G18" s="13">
        <f t="shared" si="2"/>
        <v>1536350</v>
      </c>
      <c r="H18" s="13">
        <f t="shared" si="2"/>
        <v>4800000</v>
      </c>
      <c r="I18" s="14">
        <f t="shared" si="2"/>
        <v>2333</v>
      </c>
      <c r="J18" s="13">
        <f>AVERAGE(J6:J17)</f>
        <v>1999.6989837561298</v>
      </c>
    </row>
    <row r="21" spans="2:10" ht="15" customHeight="1">
      <c r="B21" s="276" t="s">
        <v>69</v>
      </c>
      <c r="C21" s="275"/>
      <c r="D21" s="275"/>
    </row>
    <row r="22" spans="2:10" ht="15" customHeight="1">
      <c r="B22" s="3" t="s">
        <v>70</v>
      </c>
      <c r="C22" s="3" t="s">
        <v>71</v>
      </c>
      <c r="D22" s="3" t="s">
        <v>72</v>
      </c>
    </row>
    <row r="23" spans="2:10" ht="15" customHeight="1">
      <c r="B23" s="15" t="s">
        <v>73</v>
      </c>
      <c r="C23" s="5">
        <v>720000</v>
      </c>
      <c r="D23" s="16">
        <f t="shared" ref="D23:D29" si="3">C23/SUM(C$23:C$29)</f>
        <v>0.55214723926380371</v>
      </c>
    </row>
    <row r="24" spans="2:10" ht="15" customHeight="1">
      <c r="B24" s="15" t="s">
        <v>74</v>
      </c>
      <c r="C24" s="5">
        <v>180000</v>
      </c>
      <c r="D24" s="16">
        <f t="shared" si="3"/>
        <v>0.13803680981595093</v>
      </c>
    </row>
    <row r="25" spans="2:10" ht="15" customHeight="1">
      <c r="B25" s="15" t="s">
        <v>75</v>
      </c>
      <c r="C25" s="5">
        <v>144000</v>
      </c>
      <c r="D25" s="16">
        <f t="shared" si="3"/>
        <v>0.11042944785276074</v>
      </c>
    </row>
    <row r="26" spans="2:10" ht="15" customHeight="1">
      <c r="B26" s="15" t="s">
        <v>76</v>
      </c>
      <c r="C26" s="5">
        <v>96000</v>
      </c>
      <c r="D26" s="16">
        <f t="shared" si="3"/>
        <v>7.3619631901840496E-2</v>
      </c>
    </row>
    <row r="27" spans="2:10" ht="15" customHeight="1">
      <c r="B27" s="15" t="s">
        <v>77</v>
      </c>
      <c r="C27" s="5">
        <v>72000</v>
      </c>
      <c r="D27" s="16">
        <f t="shared" si="3"/>
        <v>5.5214723926380369E-2</v>
      </c>
    </row>
    <row r="28" spans="2:10" ht="15" customHeight="1">
      <c r="B28" s="15" t="s">
        <v>78</v>
      </c>
      <c r="C28" s="5">
        <v>48000</v>
      </c>
      <c r="D28" s="16">
        <f t="shared" si="3"/>
        <v>3.6809815950920248E-2</v>
      </c>
    </row>
    <row r="29" spans="2:10" ht="15" customHeight="1">
      <c r="B29" s="15" t="s">
        <v>79</v>
      </c>
      <c r="C29" s="5">
        <v>44000</v>
      </c>
      <c r="D29" s="16">
        <f t="shared" si="3"/>
        <v>3.3742331288343558E-2</v>
      </c>
    </row>
    <row r="32" spans="2:10" ht="15" customHeight="1">
      <c r="B32" s="276" t="s">
        <v>80</v>
      </c>
      <c r="C32" s="275"/>
      <c r="D32" s="275"/>
    </row>
    <row r="33" spans="2:4" ht="15" customHeight="1">
      <c r="B33" s="3" t="s">
        <v>81</v>
      </c>
      <c r="C33" s="3" t="s">
        <v>49</v>
      </c>
      <c r="D33" s="3" t="s">
        <v>72</v>
      </c>
    </row>
    <row r="34" spans="2:4" ht="15" customHeight="1">
      <c r="B34" s="15" t="s">
        <v>82</v>
      </c>
      <c r="C34" s="5">
        <v>2680000</v>
      </c>
      <c r="D34" s="16">
        <f t="shared" ref="D34:D37" si="4">C34/SUM(C$34:C$37)</f>
        <v>0.57449088960342976</v>
      </c>
    </row>
    <row r="35" spans="2:4" ht="15" customHeight="1">
      <c r="B35" s="15" t="s">
        <v>83</v>
      </c>
      <c r="C35" s="5">
        <v>1180000</v>
      </c>
      <c r="D35" s="16">
        <f t="shared" si="4"/>
        <v>0.25294748124330119</v>
      </c>
    </row>
    <row r="36" spans="2:4" ht="15" customHeight="1">
      <c r="B36" s="15" t="s">
        <v>84</v>
      </c>
      <c r="C36" s="5">
        <v>620000</v>
      </c>
      <c r="D36" s="16">
        <f t="shared" si="4"/>
        <v>0.13290460878885316</v>
      </c>
    </row>
    <row r="37" spans="2:4" ht="15" customHeight="1">
      <c r="B37" s="15" t="s">
        <v>85</v>
      </c>
      <c r="C37" s="5">
        <v>185000</v>
      </c>
      <c r="D37" s="16">
        <f t="shared" si="4"/>
        <v>3.965702036441586E-2</v>
      </c>
    </row>
  </sheetData>
  <mergeCells count="4">
    <mergeCell ref="B2:J2"/>
    <mergeCell ref="B4:J4"/>
    <mergeCell ref="B21:D21"/>
    <mergeCell ref="B32:D32"/>
  </mergeCells>
  <conditionalFormatting sqref="D23:D29">
    <cfRule type="dataBar" priority="4">
      <dataBar>
        <cfvo type="min"/>
        <cfvo type="max"/>
        <color rgb="FF2F5496"/>
      </dataBar>
      <extLst>
        <ext xmlns:x14="http://schemas.microsoft.com/office/spreadsheetml/2009/9/main" uri="{B025F937-C7B1-47D3-B67F-A62EFF666E3E}">
          <x14:id>{2CDDD26D-DB18-4809-8FFD-5618A6316989}</x14:id>
        </ext>
      </extLst>
    </cfRule>
  </conditionalFormatting>
  <conditionalFormatting sqref="D34:D37">
    <cfRule type="dataBar" priority="3">
      <dataBar>
        <cfvo type="min"/>
        <cfvo type="max"/>
        <color rgb="FF2F5496"/>
      </dataBar>
      <extLst>
        <ext xmlns:x14="http://schemas.microsoft.com/office/spreadsheetml/2009/9/main" uri="{B025F937-C7B1-47D3-B67F-A62EFF666E3E}">
          <x14:id>{C5CD37F1-7176-4278-9A1D-58CAE6D6F80D}</x14:id>
        </ext>
      </extLst>
    </cfRule>
  </conditionalFormatting>
  <conditionalFormatting sqref="G6:G17">
    <cfRule type="cellIs" dxfId="1" priority="1" operator="lessThan">
      <formula>0</formula>
    </cfRule>
    <cfRule type="cellIs" dxfId="0" priority="2" operator="greaterThanOrEqual">
      <formula>0</formula>
    </cfRule>
  </conditionalFormatting>
  <dataValidations count="2">
    <dataValidation type="whole" operator="greaterThanOrEqual" allowBlank="1" showInputMessage="1" showErrorMessage="1" error="Invalid: Customers must be a positive whole number." sqref="I6:I17" xr:uid="{0AC41D30-1E7A-4FEA-9BAF-5C8EE7599F1C}">
      <formula1>0</formula1>
    </dataValidation>
    <dataValidation type="decimal" operator="greaterThanOrEqual" allowBlank="1" showInputMessage="1" showErrorMessage="1" error="Invalid: Value must be zero or positive." sqref="F6:F17 H6:H17 C6:D17" xr:uid="{F293BB2C-2FF9-48CE-9887-7DFA13496AB1}">
      <formula1>0</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CDDD26D-DB18-4809-8FFD-5618A6316989}">
            <x14:dataBar minLength="0" maxLength="100" direction="leftToRight">
              <x14:cfvo type="autoMin"/>
              <x14:cfvo type="autoMax"/>
              <x14:negativeFillColor rgb="FFFF0000"/>
              <x14:axisColor rgb="FF000000"/>
            </x14:dataBar>
          </x14:cfRule>
          <xm:sqref>D23:D29</xm:sqref>
        </x14:conditionalFormatting>
        <x14:conditionalFormatting xmlns:xm="http://schemas.microsoft.com/office/excel/2006/main">
          <x14:cfRule type="dataBar" id="{C5CD37F1-7176-4278-9A1D-58CAE6D6F80D}">
            <x14:dataBar minLength="0" maxLength="100" direction="leftToRight">
              <x14:cfvo type="autoMin"/>
              <x14:cfvo type="autoMax"/>
              <x14:negativeFillColor rgb="FFFF0000"/>
              <x14:axisColor rgb="FF000000"/>
            </x14:dataBar>
          </x14:cfRule>
          <xm:sqref>D34:D37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3</vt:i4>
      </vt:variant>
    </vt:vector>
  </HeadingPairs>
  <TitlesOfParts>
    <vt:vector size="11" baseType="lpstr">
      <vt:lpstr>Documents Management</vt:lpstr>
      <vt:lpstr>BOM Management (EBOM_MBOM)</vt:lpstr>
      <vt:lpstr>Change Management (Change_Log)</vt:lpstr>
      <vt:lpstr>Change Management (ECN)</vt:lpstr>
      <vt:lpstr>Validation &amp; Release Management</vt:lpstr>
      <vt:lpstr>Risk Management</vt:lpstr>
      <vt:lpstr> Cost Benefit Analysis</vt:lpstr>
      <vt:lpstr>Dashboard</vt:lpstr>
      <vt:lpstr>'Documents Management'!_Toc11120784</vt:lpstr>
      <vt:lpstr>'Documents Management'!_Toc57468547</vt:lpstr>
      <vt:lpstr>'Documents Management'!_Toc57468548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Mehrnia, Seyedmajid</dc:creator>
  <cp:lastModifiedBy>Mehrnia, Seyedmajid</cp:lastModifiedBy>
  <dcterms:created xsi:type="dcterms:W3CDTF">2015-06-05T18:19:34Z</dcterms:created>
  <dcterms:modified xsi:type="dcterms:W3CDTF">2026-06-06T06:02:50Z</dcterms:modified>
</cp:coreProperties>
</file>