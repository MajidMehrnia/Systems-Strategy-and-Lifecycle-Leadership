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1F2B96CE-AD0B-4DBA-9C1E-623B6B9B74B5}" xr6:coauthVersionLast="47" xr6:coauthVersionMax="47" xr10:uidLastSave="{00000000-0000-0000-0000-000000000000}"/>
  <bookViews>
    <workbookView xWindow="-120" yWindow="-120" windowWidth="20730" windowHeight="11160" tabRatio="894" firstSheet="3" activeTab="6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Cost Benefit Analysis" sheetId="10" r:id="rId7"/>
    <sheet name="Dashboard" sheetId="9" r:id="rId8"/>
    <sheet name="Executive Report" sheetId="14" r:id="rId9"/>
  </sheets>
  <externalReferences>
    <externalReference r:id="rId10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<sst xmlns="http://schemas.openxmlformats.org/spreadsheetml/2006/main" count="2052" uniqueCount="1124">
  <si>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</si>
  <si>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</si>
  <si>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</si>
  <si>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</si>
  <si>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</si>
  <si>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</si>
  <si>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</si>
  <si>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</si>
  <si>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</si>
  <si>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</si>
  <si>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</si>
  <si>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</si>
  <si>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</si>
  <si>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</si>
  <si>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</si>
  <si>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</si>
  <si>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</si>
  <si>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</si>
  <si>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</si>
  <si>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</si>
  <si>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</si>
  <si>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</si>
  <si>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</si>
  <si>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</si>
  <si>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</si>
  <si>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</si>
  <si>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</si>
  <si>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</si>
  <si>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</si>
  <si>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</si>
  <si>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</si>
  <si>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</si>
  <si>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</si>
  <si>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</si>
  <si>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</si>
  <si>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</si>
  <si>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</si>
  <si>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</si>
  <si>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</si>
  <si>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</si>
  <si>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</si>
  <si>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</si>
  <si>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</si>
  <si>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</si>
  <si>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</si>
  <si>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</si>
  <si>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</si>
  <si>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</si>
  <si>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</si>
  <si>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</si>
  <si>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</si>
  <si>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</si>
  <si>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</si>
  <si>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</si>
  <si>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</si>
  <si>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</si>
  <si>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</si>
  <si>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</si>
  <si>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</si>
  <si>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</si>
  <si>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</si>
  <si>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</si>
  <si>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</si>
  <si>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</si>
  <si>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</si>
  <si>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</si>
  <si>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</si>
  <si>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</si>
  <si>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</si>
  <si>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</si>
  <si>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</si>
  <si>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</si>
  <si>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</si>
  <si>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</si>
  <si>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</si>
  <si>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</si>
  <si>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</si>
  <si>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</si>
  <si>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</si>
  <si>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</si>
  <si>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Underground pressure-reducing stations / reverse pump-as-turbine generation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</si>
  <si>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</si>
  <si>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</si>
  <si>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</si>
  <si>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</si>
  <si>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</si>
  <si>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</si>
  <si>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</si>
  <si>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</si>
  <si>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</si>
  <si>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</si>
  <si>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</si>
  <si>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</si>
  <si>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</si>
  <si>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</si>
  <si>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</si>
  <si>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</si>
  <si>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</si>
  <si>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</si>
  <si>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</si>
  <si>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</si>
  <si>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</si>
  <si>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</si>
  <si>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</si>
  <si>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</si>
  <si>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</si>
  <si>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</si>
  <si>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</si>
  <si>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</si>
  <si>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</si>
  <si>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</si>
  <si>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</si>
  <si>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</si>
  <si>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</si>
  <si>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</si>
  <si>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</si>
  <si>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</si>
  <si>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</si>
  <si>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</si>
  <si>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</si>
  <si>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</si>
  <si>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</si>
  <si>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</si>
  <si>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</si>
  <si>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</si>
  <si>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</si>
  <si>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</si>
  <si>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</si>
  <si>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</si>
  <si>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</si>
  <si>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</si>
  <si>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</si>
  <si>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</si>
  <si>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</si>
  <si>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</si>
  <si>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</si>
  <si>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</si>
  <si>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</si>
  <si>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</si>
  <si>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</si>
  <si>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</si>
  <si>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</si>
  <si>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</si>
  <si>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</si>
  <si>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</si>
  <si>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</si>
  <si>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</si>
  <si>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</si>
  <si>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</si>
  <si>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</si>
  <si>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</si>
  <si>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</si>
  <si>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</si>
  <si>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</si>
  <si>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</si>
  <si>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</si>
  <si>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</si>
  <si>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</si>
  <si>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</si>
  <si>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</si>
  <si>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</si>
  <si>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</si>
  <si>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</si>
  <si>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</si>
  <si>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</si>
  <si>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</si>
  <si>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</si>
  <si>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</si>
  <si>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</si>
  <si>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</si>
  <si>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</si>
  <si>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</si>
  <si>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</si>
  <si>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</si>
  <si>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</si>
  <si>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</si>
  <si>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</si>
  <si>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</si>
  <si>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</si>
  <si>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</si>
  <si>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</si>
  <si>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</si>
  <si>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</si>
  <si>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</si>
  <si>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</si>
  <si>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</si>
  <si>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</si>
  <si>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</si>
  <si>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</si>
  <si>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</si>
  <si>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</si>
  <si>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</si>
  <si>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</si>
  <si>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</si>
  <si>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</si>
  <si>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</si>
  <si>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</si>
  <si>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</si>
  <si>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</si>
  <si>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</si>
  <si>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</si>
  <si>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</si>
  <si>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</si>
  <si>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</si>
  <si>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</si>
  <si>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</si>
  <si>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</si>
  <si>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</si>
  <si>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</si>
  <si>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</si>
  <si>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</si>
  <si>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</si>
  <si>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</si>
  <si>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</si>
  <si>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</si>
  <si>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</si>
  <si>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</si>
  <si>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</si>
  <si>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</si>
  <si>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</si>
  <si>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</si>
  <si>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</si>
  <si>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</si>
  <si>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</si>
  <si>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</si>
  <si>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</si>
  <si>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</si>
  <si>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</si>
  <si>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</si>
  <si>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</si>
  <si>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</si>
  <si>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</si>
  <si>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</si>
  <si>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</si>
  <si>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</si>
  <si>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</si>
  <si>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</si>
  <si>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</si>
  <si>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</si>
  <si>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</si>
  <si>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</si>
  <si>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</si>
  <si>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</si>
  <si>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</si>
  <si>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</si>
  <si>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</si>
  <si>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</si>
  <si>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</si>
  <si>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</si>
  <si>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</si>
  <si>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</si>
  <si>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</si>
  <si>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</si>
  <si>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</si>
  <si>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</si>
  <si>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</si>
  <si>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</si>
  <si>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</si>
  <si>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</si>
  <si>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</si>
  <si>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</si>
  <si>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</si>
  <si>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</si>
  <si>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</si>
  <si>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</si>
  <si>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</si>
  <si>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</si>
  <si>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</si>
  <si>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</si>
  <si>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</si>
  <si>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</si>
  <si>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</si>
  <si>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</si>
  <si>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</si>
  <si>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</si>
  <si>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</si>
  <si>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</si>
  <si>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</si>
  <si>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</si>
  <si>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</si>
  <si>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</si>
  <si>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</si>
  <si>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</si>
  <si>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</si>
  <si>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</si>
  <si>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</si>
  <si>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</si>
  <si>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</si>
  <si>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</si>
  <si>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</si>
  <si>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</si>
  <si>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</si>
  <si>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</si>
  <si>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</si>
  <si>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</si>
  <si>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</si>
  <si>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</si>
  <si>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</si>
  <si>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</si>
  <si>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</si>
  <si>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</si>
  <si>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</si>
  <si>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</si>
  <si>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</si>
  <si>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</si>
  <si>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</si>
  <si>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</si>
  <si>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</si>
  <si>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</si>
  <si>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</si>
  <si>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</si>
  <si>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</si>
  <si>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</si>
  <si>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</si>
  <si>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</si>
  <si>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</si>
  <si>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</si>
  <si>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</si>
  <si>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</si>
  <si>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</si>
  <si>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</si>
  <si>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</si>
  <si>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</si>
  <si>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</si>
  <si>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</si>
  <si>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</si>
  <si>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</si>
  <si>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</si>
  <si>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</si>
  <si>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</si>
  <si>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</si>
  <si>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</si>
  <si>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</si>
  <si>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</si>
  <si>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</si>
  <si>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</si>
  <si>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</si>
  <si>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</si>
  <si>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</si>
  <si>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</si>
  <si>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</si>
  <si>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</si>
  <si>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</si>
  <si>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</si>
  <si>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</si>
  <si>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</si>
  <si>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</si>
  <si>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</si>
  <si>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</si>
  <si>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</si>
  <si>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</si>
  <si>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</si>
  <si>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</si>
  <si>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</si>
  <si>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</si>
  <si>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</si>
  <si>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</si>
  <si>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</si>
  <si>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</si>
  <si>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</si>
  <si>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</si>
  <si>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</si>
  <si>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</si>
  <si>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</si>
  <si>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</si>
  <si>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</si>
  <si>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</si>
  <si>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</si>
  <si>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</si>
  <si>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</si>
  <si>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</si>
  <si>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</si>
  <si>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</si>
  <si>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</si>
  <si>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</si>
  <si>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</si>
  <si>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</si>
  <si>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</si>
  <si>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</si>
  <si>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</si>
  <si>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</si>
  <si>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</si>
  <si>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</si>
  <si>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</si>
  <si>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</si>
  <si>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</si>
  <si>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</si>
  <si>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</si>
  <si>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</si>
  <si>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</si>
  <si>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</si>
  <si>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</si>
  <si>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</si>
  <si>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</si>
  <si>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</si>
  <si>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</si>
  <si>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</si>
  <si>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</si>
  <si>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</si>
  <si>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</si>
  <si>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</si>
  <si>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</si>
  <si>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</si>
  <si>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</si>
  <si>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</si>
  <si>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</si>
  <si>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</si>
  <si>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</si>
  <si>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</si>
  <si>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</si>
  <si>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</si>
  <si>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</si>
  <si>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</si>
  <si>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</si>
  <si>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</si>
  <si>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</si>
  <si>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</si>
  <si>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</si>
  <si>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</si>
  <si>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</si>
  <si>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</si>
  <si>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</si>
  <si>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</si>
  <si>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</si>
  <si>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</si>
  <si>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</si>
  <si>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</si>
  <si>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</si>
  <si>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</si>
  <si>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</si>
  <si>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</si>
  <si>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</si>
  <si>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</si>
  <si>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</si>
  <si>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</si>
  <si>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</si>
  <si>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</si>
  <si>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</si>
  <si>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</si>
  <si>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</si>
  <si>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</si>
  <si>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</si>
  <si>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</si>
  <si>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</si>
  <si>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</si>
  <si>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</si>
  <si>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</si>
  <si>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</si>
  <si>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</si>
  <si>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</si>
  <si>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</si>
  <si>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</si>
  <si>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</si>
  <si>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</si>
  <si>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</si>
  <si>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</si>
  <si>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</si>
  <si>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</si>
  <si>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</si>
  <si>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</si>
  <si>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</si>
  <si>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</si>
  <si>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</si>
  <si>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</si>
  <si>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</si>
  <si>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</si>
  <si>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</si>
  <si>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</si>
  <si>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</si>
  <si>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</si>
  <si>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</si>
  <si>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</si>
  <si>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</si>
  <si>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</si>
  <si>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</si>
  <si>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</si>
  <si>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</si>
  <si>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</si>
  <si>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</si>
  <si>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</si>
  <si>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</si>
  <si>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</si>
  <si>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</si>
  <si>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</si>
  <si>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</si>
  <si>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</si>
  <si>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</si>
  <si>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</si>
  <si>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</si>
  <si>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</si>
  <si>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</si>
  <si>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</si>
  <si>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</si>
  <si>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</si>
  <si>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</si>
  <si>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</si>
  <si>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</si>
  <si>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</si>
  <si>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</si>
  <si>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</si>
  <si>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</si>
  <si>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</si>
  <si>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</si>
  <si>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</si>
  <si>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</si>
  <si>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</si>
  <si>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</si>
  <si>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</si>
  <si>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</si>
  <si>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</si>
  <si>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</si>
  <si>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</si>
  <si>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</si>
  <si>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</si>
  <si>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</si>
  <si>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</si>
  <si>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</si>
  <si>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</si>
  <si>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</si>
  <si>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</si>
  <si>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</si>
  <si>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</si>
  <si>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</si>
  <si>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</si>
  <si>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</si>
  <si>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</si>
  <si>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</si>
  <si>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</si>
  <si>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</si>
  <si>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</si>
  <si>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</si>
  <si>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</si>
  <si>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</si>
  <si>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</si>
  <si>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</si>
  <si>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</si>
  <si>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</si>
  <si>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</si>
  <si>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</si>
  <si>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</si>
  <si>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</si>
  <si>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</si>
  <si>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</si>
  <si>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</si>
  <si>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</si>
  <si>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</si>
  <si>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</si>
  <si>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</si>
  <si>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</si>
  <si>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</si>
  <si>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RISK MANAGEMENT + NPI ATTRITION — 14 candidate stations to 11 operating assets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</si>
  <si>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</si>
  <si>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</si>
  <si>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</si>
  <si>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</si>
  <si>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</si>
  <si>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</si>
  <si>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</si>
  <si>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</si>
  <si>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</si>
  <si>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</si>
  <si>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</si>
  <si>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</si>
  <si>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</si>
  <si>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</si>
  <si>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</si>
  <si>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</si>
  <si>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</si>
  <si>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</si>
  <si>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</si>
  <si>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</si>
  <si>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</si>
  <si>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</si>
  <si>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</si>
  <si>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</si>
  <si>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</si>
  <si>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</si>
  <si>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</si>
  <si>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</si>
  <si>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</si>
  <si>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</si>
  <si>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</si>
  <si>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</si>
  <si>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</si>
  <si>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</si>
  <si>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</si>
  <si>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</si>
  <si>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</si>
  <si>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</si>
  <si>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</si>
  <si>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</si>
  <si>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</si>
  <si>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</si>
  <si>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</si>
  <si>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</si>
  <si>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</si>
  <si>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</si>
  <si>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</si>
  <si>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</si>
  <si>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</si>
  <si>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</si>
  <si>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</si>
  <si>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</si>
  <si>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</si>
  <si>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</si>
  <si>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</si>
  <si>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</si>
  <si>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</si>
  <si>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</si>
  <si>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</si>
  <si>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</si>
  <si>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</si>
  <si>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</si>
  <si>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</si>
  <si>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</si>
  <si>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</si>
  <si>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</si>
  <si>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</si>
  <si>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</si>
  <si>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</si>
  <si>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</si>
  <si>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</si>
  <si>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</si>
  <si>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</si>
  <si>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</si>
  <si>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</si>
  <si>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</si>
  <si>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</si>
  <si>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</si>
  <si>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</si>
  <si>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</si>
  <si>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</si>
  <si>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</si>
  <si>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</si>
  <si>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</si>
  <si>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</si>
  <si>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</si>
  <si>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</si>
  <si>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</si>
  <si>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</si>
  <si>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</si>
  <si>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</si>
  <si>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</si>
  <si>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</si>
  <si>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</si>
  <si>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</si>
  <si>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</si>
  <si>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</si>
  <si>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</si>
  <si>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</si>
  <si>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</si>
  <si>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</si>
  <si>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</si>
  <si>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</si>
  <si>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</si>
  <si>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</si>
  <si>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</si>
  <si>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</si>
  <si>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</si>
  <si>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</si>
  <si>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</si>
  <si>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</si>
  <si>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</si>
  <si>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</si>
  <si>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</si>
  <si>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</si>
  <si>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</si>
  <si>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</si>
  <si>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</si>
  <si>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</si>
  <si>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</si>
  <si>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</si>
  <si>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</si>
  <si>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</si>
  <si>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</si>
  <si>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</si>
  <si>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</si>
  <si>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</si>
  <si>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</si>
  <si>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</si>
  <si>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</si>
  <si>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</si>
  <si>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</si>
  <si>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</si>
  <si>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</si>
  <si>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</si>
  <si>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</si>
  <si>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</si>
  <si>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</si>
  <si>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</si>
  <si>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</si>
  <si>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</si>
  <si>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</si>
  <si>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</si>
  <si>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</si>
  <si>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</si>
  <si>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</si>
  <si>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</si>
  <si>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</si>
  <si>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</si>
  <si>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</si>
  <si>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</si>
  <si>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</si>
  <si>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</si>
  <si>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</si>
  <si>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</si>
  <si>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</si>
  <si>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</si>
  <si>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</si>
  <si>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</si>
  <si>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</si>
  <si>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</si>
  <si>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</si>
  <si>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</si>
  <si>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</si>
  <si>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</si>
  <si>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</si>
  <si>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</si>
  <si>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</si>
  <si>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</si>
  <si>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</si>
  <si>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</si>
  <si>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</si>
  <si>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</si>
  <si>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</si>
  <si>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</si>
  <si>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</si>
  <si>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</si>
  <si>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</si>
  <si>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</si>
  <si>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</si>
  <si>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</si>
  <si>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</si>
  <si>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</si>
  <si>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</si>
  <si>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</si>
  <si>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</si>
  <si>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</si>
  <si>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</si>
  <si>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</si>
  <si>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</si>
  <si>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</si>
  <si>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</si>
  <si>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</si>
  <si>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</si>
  <si>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</si>
  <si>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</si>
  <si>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</si>
  <si>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</si>
  <si>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</si>
  <si>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</si>
  <si>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</si>
  <si>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</si>
  <si>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</si>
  <si>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</si>
  <si>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</si>
  <si>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</si>
  <si>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</si>
  <si>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</si>
  <si>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</si>
  <si>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</si>
  <si>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</si>
  <si>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</si>
  <si>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</si>
  <si>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</si>
  <si>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</si>
  <si>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EXECUTIVE DASHBOARD — Reverse Pump Energy Recovery PLM Portfolio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</si>
  <si>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</si>
  <si>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</si>
  <si>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</si>
  <si>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</si>
  <si>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</si>
  <si>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</si>
  <si>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</si>
  <si>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</si>
  <si>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</si>
  <si>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</si>
  <si>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</si>
  <si>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</si>
  <si>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</si>
  <si>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</si>
  <si>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</si>
  <si>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</si>
  <si>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</si>
  <si>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</si>
  <si>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</si>
  <si>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</si>
  <si>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</si>
  <si>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</si>
  <si>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</si>
  <si>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</si>
  <si>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</si>
  <si>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</si>
  <si>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</si>
  <si>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</si>
  <si>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</si>
  <si>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</si>
  <si>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</si>
  <si>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</si>
  <si>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</si>
  <si>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</si>
  <si>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</si>
  <si>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</si>
  <si>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</si>
  <si>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</si>
  <si>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</si>
  <si>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</si>
  <si>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</si>
  <si>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</si>
  <si>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</si>
  <si>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</si>
  <si>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</si>
  <si>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</si>
  <si>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</si>
  <si>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</si>
  <si>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</si>
  <si>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</si>
  <si>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</si>
  <si>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</si>
  <si>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</si>
  <si>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</si>
  <si>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</si>
  <si>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</si>
  <si>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</si>
  <si>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</si>
  <si>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</si>
  <si>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</si>
  <si>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</si>
  <si>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</si>
  <si>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</si>
  <si>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</si>
  <si>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</si>
  <si>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</si>
  <si>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</si>
  <si>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</si>
  <si>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</si>
  <si>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</si>
  <si>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</si>
  <si>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</si>
  <si>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</si>
  <si>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</si>
  <si>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</si>
  <si>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</si>
  <si>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</si>
  <si>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</si>
  <si>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</si>
  <si>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</si>
  <si>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</si>
  <si>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</si>
  <si>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</si>
  <si>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</si>
  <si>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</si>
  <si>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</si>
  <si>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</si>
  <si>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</si>
  <si>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</si>
  <si>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</si>
  <si>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</si>
  <si>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</si>
  <si>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</si>
  <si>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</si>
  <si>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</si>
  <si>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</si>
  <si>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</si>
  <si>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</si>
  <si>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</si>
  <si>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</si>
  <si>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</si>
  <si>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</si>
  <si>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</si>
  <si>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</si>
  <si>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</si>
  <si>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</si>
  <si>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</si>
  <si>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</si>
  <si>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</si>
  <si>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EXECUTIVE REPORT — Full Lifecycle Delivery for Underground Reverse Pump Energy Recovery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</si>
  <si>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</si>
  <si>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</si>
  <si>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</si>
  <si>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</si>
  <si>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</si>
  <si>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</si>
  <si>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</si>
  <si>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</si>
  <si>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</si>
  <si>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</si>
  <si>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</si>
  <si>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</si>
  <si>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</si>
  <si>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</si>
  <si>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</si>
  <si>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</si>
  <si>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</si>
  <si>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</si>
  <si>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</si>
  <si>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</si>
  <si>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</si>
  <si>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</si>
  <si>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</si>
  <si>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</si>
  <si>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</si>
  <si>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</si>
  <si>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</si>
  <si>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</si>
  <si>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</si>
  <si>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</si>
  <si>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</si>
  <si>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</si>
  <si>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</si>
  <si>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</si>
  <si>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</si>
  <si>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</si>
  <si>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</si>
  <si>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</si>
  <si>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</si>
  <si>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</si>
  <si>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</si>
  <si>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</si>
  <si>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</si>
  <si>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</si>
  <si>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</si>
  <si>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</si>
  <si>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</si>
  <si>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</si>
  <si>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</si>
  <si>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</si>
  <si>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</si>
  <si>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</si>
  <si>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</si>
  <si>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</si>
  <si>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</si>
  <si>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</si>
  <si>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</si>
  <si>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</si>
  <si>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</si>
  <si>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</si>
  <si>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</si>
  <si>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</si>
  <si>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</si>
  <si>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</si>
  <si>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</si>
  <si>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</si>
  <si>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</si>
  <si>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</si>
  <si>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</si>
  <si>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</si>
  <si>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</si>
  <si>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</si>
  <si>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</si>
  <si>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</si>
  <si>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</si>
  <si>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</si>
  <si>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</si>
  <si>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</si>
  <si>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</si>
  <si>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</si>
  <si>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</si>
  <si>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</si>
  <si>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</si>
  <si>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</si>
  <si>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</si>
  <si>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</si>
  <si>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</si>
  <si>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</si>
  <si>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</si>
  <si>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</si>
  <si>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</si>
  <si>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</si>
  <si>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</si>
  <si>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</si>
  <si>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</si>
  <si>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</si>
  <si>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</si>
  <si>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</si>
  <si>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</si>
  <si>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</si>
  <si>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</si>
  <si>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</si>
  <si>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</si>
  <si>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</si>
  <si>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</si>
  <si>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</si>
  <si>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</si>
  <si>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</si>
  <si>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</si>
  <si>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</si>
  <si>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</si>
  <si>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</si>
  <si>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</si>
  <si>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</si>
  <si>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</si>
  <si>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</si>
  <si>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</si>
  <si>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</si>
  <si>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</si>
  <si>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</si>
  <si>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</si>
  <si>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</si>
  <si>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</si>
  <si>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</si>
  <si>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</si>
  <si>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</si>
  <si>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</si>
  <si>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</si>
  <si>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</si>
  <si>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</si>
  <si>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</si>
  <si>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</si>
  <si>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</si>
  <si>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</si>
  <si>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</si>
  <si>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</si>
  <si>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</si>
  <si>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</si>
  <si>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</si>
  <si>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</si>
  <si>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</si>
  <si>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</si>
  <si>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</si>
  <si>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</si>
  <si>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</si>
  <si>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</si>
  <si>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</si>
  <si>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</si>
  <si>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</si>
  <si>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</si>
  <si>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</si>
  <si>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</si>
  <si>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</si>
  <si>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</si>
  <si>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</si>
  <si>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</si>
  <si>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</si>
  <si>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</si>
  <si>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</si>
  <si>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</si>
  <si>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</si>
  <si>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</si>
  <si>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</si>
  <si>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</si>
  <si>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</si>
  <si>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</si>
  <si>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</si>
  <si>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</si>
  <si>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DOCUMENT REGISTER — Reverse Pump Energy Recovery PLM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</si>
  <si>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</si>
  <si>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</si>
  <si>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</si>
  <si>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</si>
  <si>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</si>
  <si>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</si>
  <si>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</si>
  <si>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</si>
  <si>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</si>
  <si>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</si>
  <si>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</si>
  <si>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</si>
  <si>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</si>
  <si>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</si>
  <si>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</si>
  <si>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</si>
  <si>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</si>
  <si>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</si>
  <si>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</si>
  <si>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</si>
  <si>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</si>
  <si>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</si>
  <si>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</si>
  <si>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</si>
  <si>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</si>
  <si>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</si>
  <si>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</si>
  <si>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</si>
  <si>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</si>
  <si>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</si>
  <si>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</si>
  <si>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</si>
  <si>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</si>
  <si>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</si>
  <si>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</si>
  <si>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</si>
  <si>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</si>
  <si>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</si>
  <si>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</si>
  <si>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</si>
  <si>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</si>
  <si>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</si>
  <si>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</si>
  <si>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</si>
  <si>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</si>
  <si>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</si>
  <si>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</si>
  <si>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</si>
  <si>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</si>
  <si>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</si>
  <si>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</si>
  <si>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</si>
  <si>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</si>
  <si>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</si>
  <si>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</si>
  <si>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</si>
  <si>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</si>
  <si>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</si>
  <si>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</si>
  <si>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</si>
  <si>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</si>
  <si>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</si>
  <si>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</si>
  <si>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</si>
  <si>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</si>
  <si>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</si>
  <si>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</si>
  <si>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</si>
  <si>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</si>
  <si>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</si>
  <si>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</si>
  <si>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</si>
  <si>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</si>
  <si>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</si>
  <si>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</si>
  <si>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</si>
  <si>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>COST BENEFIT ANALYSIS: CAPEX, OPEX, Payback and IRR Controls</t>
  </si>
  <si>
    <t xml:space="preserve">Project: Multi-Site Pressure Reducing &amp; Power Generation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</si>
</sst>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14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6" borderId="0" xfId="0" applyFont="1" applyFill="1"/>
    <xf numFmtId="0" fontId="16" fillId="4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0" fillId="7" borderId="0" xfId="0" applyFill="1"/>
    <xf numFmtId="0" fontId="18" fillId="7" borderId="0" xfId="0" applyFont="1" applyFill="1"/>
    <xf numFmtId="0" fontId="10" fillId="7" borderId="0" xfId="0" applyFont="1" applyFill="1" applyAlignment="1">
      <alignment wrapText="1"/>
    </xf>
    <xf numFmtId="0" fontId="19" fillId="7" borderId="0" xfId="0" applyFont="1" applyFill="1" applyAlignment="1">
      <alignment wrapText="1"/>
    </xf>
    <xf numFmtId="0" fontId="23" fillId="8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6" fontId="25" fillId="0" borderId="1" xfId="0" applyNumberFormat="1" applyFont="1" applyBorder="1" applyAlignment="1">
      <alignment horizontal="right" vertical="center"/>
    </xf>
    <xf numFmtId="166" fontId="24" fillId="0" borderId="1" xfId="0" applyNumberFormat="1" applyFont="1" applyBorder="1" applyAlignment="1">
      <alignment horizontal="right" vertical="center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166" fontId="25" fillId="9" borderId="1" xfId="0" applyNumberFormat="1" applyFont="1" applyFill="1" applyBorder="1" applyAlignment="1">
      <alignment horizontal="right" vertical="center"/>
    </xf>
    <xf numFmtId="166" fontId="24" fillId="9" borderId="1" xfId="0" applyNumberFormat="1" applyFont="1" applyFill="1" applyBorder="1" applyAlignment="1">
      <alignment horizontal="right" vertical="center"/>
    </xf>
    <xf numFmtId="0" fontId="25" fillId="9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66" fontId="27" fillId="0" borderId="1" xfId="0" applyNumberFormat="1" applyFont="1" applyBorder="1" applyAlignment="1">
      <alignment horizontal="right" vertical="center"/>
    </xf>
    <xf numFmtId="3" fontId="27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167" fontId="24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8" fillId="10" borderId="0" xfId="0" applyFont="1" applyFill="1"/>
    <xf numFmtId="0" fontId="20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33" fillId="17" borderId="0" xfId="0" applyFont="1" applyFill="1" applyAlignment="1">
      <alignment horizontal="center" wrapText="1"/>
    </xf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4" fillId="6" borderId="0" xfId="0" applyFont="1" applyFill="1"/>
    <xf numFmtId="0" fontId="32" fillId="6" borderId="0" xfId="0" applyFont="1" applyFill="1"/>
    <xf numFmtId="0" fontId="30" fillId="0" borderId="0" xfId="0" applyFont="1"/>
    <xf numFmtId="0" fontId="35" fillId="13" borderId="0" xfId="0" applyFont="1" applyFill="1"/>
    <xf numFmtId="0" fontId="36" fillId="6" borderId="0" xfId="0" applyFont="1" applyFill="1"/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8" fillId="10" borderId="9" xfId="0" applyFont="1" applyFill="1" applyBorder="1" applyAlignment="1">
      <alignment horizontal="center" vertical="center"/>
    </xf>
    <xf numFmtId="0" fontId="28" fillId="10" borderId="10" xfId="0" applyFont="1" applyFill="1" applyBorder="1" applyAlignment="1">
      <alignment horizontal="center" vertical="center"/>
    </xf>
    <xf numFmtId="0" fontId="28" fillId="10" borderId="12" xfId="0" applyFont="1" applyFill="1" applyBorder="1" applyAlignment="1">
      <alignment horizontal="center" vertical="center"/>
    </xf>
    <xf numFmtId="0" fontId="28" fillId="10" borderId="13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9" fillId="12" borderId="9" xfId="0" applyFont="1" applyFill="1" applyBorder="1" applyAlignment="1">
      <alignment horizontal="center" vertical="center"/>
    </xf>
    <xf numFmtId="0" fontId="28" fillId="12" borderId="11" xfId="0" applyFont="1" applyFill="1" applyBorder="1" applyAlignment="1">
      <alignment horizontal="center" vertical="center"/>
    </xf>
    <xf numFmtId="0" fontId="28" fillId="12" borderId="10" xfId="0" applyFont="1" applyFill="1" applyBorder="1" applyAlignment="1">
      <alignment horizontal="center" vertical="center"/>
    </xf>
    <xf numFmtId="0" fontId="28" fillId="12" borderId="6" xfId="0" applyFont="1" applyFill="1" applyBorder="1" applyAlignment="1">
      <alignment horizontal="center" vertical="center"/>
    </xf>
    <xf numFmtId="0" fontId="28" fillId="12" borderId="7" xfId="0" applyFont="1" applyFill="1" applyBorder="1" applyAlignment="1">
      <alignment horizontal="center" vertical="center"/>
    </xf>
    <xf numFmtId="0" fontId="28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30" fillId="11" borderId="9" xfId="0" applyFont="1" applyFill="1" applyBorder="1" applyAlignment="1">
      <alignment horizontal="center" vertical="center"/>
    </xf>
    <xf numFmtId="0" fontId="28" fillId="11" borderId="10" xfId="0" applyFont="1" applyFill="1" applyBorder="1" applyAlignment="1">
      <alignment horizontal="center" vertical="center"/>
    </xf>
    <xf numFmtId="0" fontId="28" fillId="11" borderId="6" xfId="0" applyFont="1" applyFill="1" applyBorder="1" applyAlignment="1">
      <alignment horizontal="center" vertical="center"/>
    </xf>
    <xf numFmtId="0" fontId="28" fillId="11" borderId="8" xfId="0" applyFont="1" applyFill="1" applyBorder="1" applyAlignment="1">
      <alignment horizontal="center" vertical="center"/>
    </xf>
    <xf numFmtId="0" fontId="29" fillId="12" borderId="14" xfId="0" applyFont="1" applyFill="1" applyBorder="1" applyAlignment="1">
      <alignment horizontal="center" vertical="center" textRotation="90"/>
    </xf>
    <xf numFmtId="0" fontId="31" fillId="12" borderId="15" xfId="0" applyFont="1" applyFill="1" applyBorder="1" applyAlignment="1">
      <alignment horizontal="center" vertical="center" textRotation="90"/>
    </xf>
    <xf numFmtId="0" fontId="31" fillId="12" borderId="16" xfId="0" applyFont="1" applyFill="1" applyBorder="1" applyAlignment="1">
      <alignment horizontal="center" vertical="center" textRotation="90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1" fillId="0" borderId="0" xfId="0" applyFont="1" applyAlignment="1">
      <alignment vertical="top"/>
    </xf>
    <xf numFmtId="0" fontId="0" fillId="0" borderId="0" xfId="0"/>
    <xf numFmtId="0" fontId="22" fillId="0" borderId="0" xfId="0" applyFont="1" applyAlignment="1">
      <alignment vertical="top"/>
    </xf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>
      <selection activeCell="B7" sqref="B7"/>
    </sheetView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1045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F2" s="12">
        <v>42268</v>
      </c>
      <c r="G2" s="11" t="s">
        <v>32</v>
      </c>
      <c r="H2" s="11" t="s">
        <v>84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85</v>
      </c>
      <c r="B3" s="11" t="s">
        <v>86</v>
      </c>
      <c r="C3" s="11" t="s">
        <v>87</v>
      </c>
      <c r="D3" s="11" t="s">
        <v>88</v>
      </c>
      <c r="E3" s="11" t="s">
        <v>89</v>
      </c>
      <c r="F3" s="11" t="s">
        <v>90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91</v>
      </c>
      <c r="B5" s="14" t="s">
        <v>1</v>
      </c>
      <c r="C5" s="14" t="s">
        <v>92</v>
      </c>
      <c r="D5" s="14" t="s">
        <v>93</v>
      </c>
      <c r="E5" s="14" t="s">
        <v>94</v>
      </c>
      <c r="F5" s="14" t="s">
        <v>32</v>
      </c>
      <c r="G5" s="14" t="s">
        <v>95</v>
      </c>
      <c r="H5" s="14" t="s">
        <v>96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97</v>
      </c>
      <c r="B6" s="11" t="s">
        <v>3</v>
      </c>
      <c r="C6" s="11" t="s">
        <v>98</v>
      </c>
      <c r="D6" s="11" t="s">
        <v>99</v>
      </c>
      <c r="E6" s="11" t="s">
        <v>100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101</v>
      </c>
      <c r="B7" s="11" t="s">
        <v>52</v>
      </c>
      <c r="C7" s="11" t="s">
        <v>98</v>
      </c>
      <c r="D7" s="11" t="s">
        <v>102</v>
      </c>
      <c r="E7" s="11" t="s">
        <v>103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104</v>
      </c>
      <c r="B8" s="11" t="s">
        <v>50</v>
      </c>
      <c r="C8" s="11" t="s">
        <v>98</v>
      </c>
      <c r="D8" s="11" t="s">
        <v>105</v>
      </c>
      <c r="E8" s="11" t="s">
        <v>106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107</v>
      </c>
      <c r="B9" s="11" t="s">
        <v>3</v>
      </c>
      <c r="C9" s="11" t="s">
        <v>23</v>
      </c>
      <c r="D9" s="11" t="s">
        <v>108</v>
      </c>
      <c r="E9" s="11" t="s">
        <v>109</v>
      </c>
      <c r="F9" s="11" t="s">
        <v>110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111</v>
      </c>
      <c r="B10" s="11" t="s">
        <v>52</v>
      </c>
      <c r="C10" s="11" t="s">
        <v>23</v>
      </c>
      <c r="D10" s="11" t="s">
        <v>112</v>
      </c>
      <c r="E10" s="11" t="s">
        <v>113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114</v>
      </c>
      <c r="B11" s="11" t="s">
        <v>52</v>
      </c>
      <c r="C11" s="11" t="s">
        <v>23</v>
      </c>
      <c r="D11" s="11" t="s">
        <v>115</v>
      </c>
      <c r="E11" s="11" t="s">
        <v>116</v>
      </c>
      <c r="F11" s="11" t="s">
        <v>110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117</v>
      </c>
      <c r="B12" s="11" t="s">
        <v>50</v>
      </c>
      <c r="C12" s="11" t="s">
        <v>23</v>
      </c>
      <c r="D12" s="11" t="s">
        <v>118</v>
      </c>
      <c r="E12" s="11" t="s">
        <v>119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120</v>
      </c>
      <c r="B13" s="11" t="s">
        <v>3</v>
      </c>
      <c r="C13" s="11" t="s">
        <v>121</v>
      </c>
      <c r="D13" s="11" t="s">
        <v>122</v>
      </c>
      <c r="E13" s="11" t="s">
        <v>123</v>
      </c>
      <c r="F13" s="11" t="s">
        <v>124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125</v>
      </c>
      <c r="B14" s="11" t="s">
        <v>3</v>
      </c>
      <c r="C14" s="11" t="s">
        <v>121</v>
      </c>
      <c r="D14" s="11" t="s">
        <v>126</v>
      </c>
      <c r="E14" s="11" t="s">
        <v>127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128</v>
      </c>
      <c r="B15" s="11" t="s">
        <v>52</v>
      </c>
      <c r="C15" s="11" t="s">
        <v>121</v>
      </c>
      <c r="D15" s="11" t="s">
        <v>129</v>
      </c>
      <c r="E15" s="11" t="s">
        <v>130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131</v>
      </c>
      <c r="B16" s="11" t="s">
        <v>3</v>
      </c>
      <c r="C16" s="11" t="s">
        <v>24</v>
      </c>
      <c r="D16" s="11" t="s">
        <v>132</v>
      </c>
      <c r="E16" s="11" t="s">
        <v>133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134</v>
      </c>
      <c r="B17" s="11" t="s">
        <v>3</v>
      </c>
      <c r="C17" s="11" t="s">
        <v>24</v>
      </c>
      <c r="D17" s="11" t="s">
        <v>135</v>
      </c>
      <c r="E17" s="11" t="s">
        <v>136</v>
      </c>
      <c r="F17" s="11" t="s">
        <v>137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138</v>
      </c>
      <c r="B18" s="11" t="s">
        <v>3</v>
      </c>
      <c r="C18" s="11" t="s">
        <v>77</v>
      </c>
      <c r="D18" s="11" t="s">
        <v>139</v>
      </c>
      <c r="E18" s="11" t="s">
        <v>140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141</v>
      </c>
      <c r="B19" s="11" t="s">
        <v>52</v>
      </c>
      <c r="C19" s="11" t="s">
        <v>77</v>
      </c>
      <c r="D19" s="11" t="s">
        <v>142</v>
      </c>
      <c r="E19" s="11" t="s">
        <v>143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144</v>
      </c>
      <c r="B20" s="11" t="s">
        <v>3</v>
      </c>
      <c r="C20" s="11" t="s">
        <v>77</v>
      </c>
      <c r="D20" s="11" t="s">
        <v>145</v>
      </c>
      <c r="E20" s="11" t="s">
        <v>146</v>
      </c>
      <c r="F20" s="11" t="s">
        <v>147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148</v>
      </c>
      <c r="B21" s="11" t="s">
        <v>50</v>
      </c>
      <c r="C21" s="11" t="s">
        <v>77</v>
      </c>
      <c r="D21" s="11" t="s">
        <v>149</v>
      </c>
      <c r="E21" s="11" t="s">
        <v>150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151</v>
      </c>
      <c r="B22" s="11" t="s">
        <v>52</v>
      </c>
      <c r="C22" s="11" t="s">
        <v>77</v>
      </c>
      <c r="D22" s="11" t="s">
        <v>152</v>
      </c>
      <c r="E22" s="11" t="s">
        <v>153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154</v>
      </c>
      <c r="B23" s="11" t="s">
        <v>3</v>
      </c>
      <c r="C23" s="11" t="s">
        <v>77</v>
      </c>
      <c r="D23" s="11" t="s">
        <v>155</v>
      </c>
      <c r="E23" s="11" t="s">
        <v>156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157</v>
      </c>
      <c r="B24" s="11" t="s">
        <v>3</v>
      </c>
      <c r="C24" s="11" t="s">
        <v>77</v>
      </c>
      <c r="D24" s="11" t="s">
        <v>158</v>
      </c>
      <c r="E24" s="11" t="s">
        <v>159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8" t="s">
        <v>1046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14" t="s">
        <v>165</v>
      </c>
      <c r="G3" s="14" t="s">
        <v>166</v>
      </c>
      <c r="H3" s="14" t="s">
        <v>167</v>
      </c>
      <c r="I3" s="14" t="s">
        <v>168</v>
      </c>
      <c r="J3" s="14" t="s">
        <v>169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170</v>
      </c>
      <c r="B4" s="11" t="s">
        <v>50</v>
      </c>
      <c r="C4" s="11" t="s">
        <v>171</v>
      </c>
      <c r="D4" s="11">
        <v>1</v>
      </c>
      <c r="E4" s="11">
        <v>1</v>
      </c>
      <c r="F4" s="11" t="s">
        <v>172</v>
      </c>
      <c r="G4" s="11" t="s">
        <v>173</v>
      </c>
      <c r="H4" s="11">
        <v>310</v>
      </c>
      <c r="I4" s="11" t="s">
        <v>51</v>
      </c>
      <c r="J4" s="11" t="s">
        <v>174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175</v>
      </c>
      <c r="B5" s="11" t="s">
        <v>52</v>
      </c>
      <c r="C5" s="11" t="s">
        <v>176</v>
      </c>
      <c r="D5" s="11">
        <v>1</v>
      </c>
      <c r="E5" s="11">
        <v>1</v>
      </c>
      <c r="F5" s="11" t="s">
        <v>172</v>
      </c>
      <c r="G5" s="11" t="s">
        <v>177</v>
      </c>
      <c r="H5" s="11">
        <v>185</v>
      </c>
      <c r="I5" s="11" t="s">
        <v>51</v>
      </c>
      <c r="J5" s="11" t="s">
        <v>178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179</v>
      </c>
      <c r="B6" s="11" t="s">
        <v>52</v>
      </c>
      <c r="C6" s="11" t="s">
        <v>180</v>
      </c>
      <c r="D6" s="11">
        <v>1</v>
      </c>
      <c r="E6" s="11">
        <v>1</v>
      </c>
      <c r="F6" s="11" t="s">
        <v>181</v>
      </c>
      <c r="G6" s="11" t="s">
        <v>182</v>
      </c>
      <c r="H6" s="11">
        <v>95</v>
      </c>
      <c r="I6" s="11" t="s">
        <v>51</v>
      </c>
      <c r="J6" s="11" t="s">
        <v>183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184</v>
      </c>
      <c r="B7" s="11" t="s">
        <v>50</v>
      </c>
      <c r="C7" s="11" t="s">
        <v>185</v>
      </c>
      <c r="D7" s="11">
        <v>3</v>
      </c>
      <c r="E7" s="11">
        <v>3</v>
      </c>
      <c r="F7" s="11" t="s">
        <v>172</v>
      </c>
      <c r="G7" s="11" t="s">
        <v>186</v>
      </c>
      <c r="H7" s="11">
        <v>72</v>
      </c>
      <c r="I7" s="11" t="s">
        <v>51</v>
      </c>
      <c r="J7" s="11" t="s">
        <v>187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188</v>
      </c>
      <c r="B8" s="11" t="s">
        <v>50</v>
      </c>
      <c r="C8" s="11" t="s">
        <v>189</v>
      </c>
      <c r="D8" s="11">
        <v>6</v>
      </c>
      <c r="E8" s="11">
        <v>7</v>
      </c>
      <c r="F8" s="11" t="s">
        <v>181</v>
      </c>
      <c r="G8" s="11" t="s">
        <v>182</v>
      </c>
      <c r="H8" s="11">
        <v>54</v>
      </c>
      <c r="I8" s="11" t="s">
        <v>51</v>
      </c>
      <c r="J8" s="11" t="s">
        <v>183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190</v>
      </c>
      <c r="B9" s="11" t="s">
        <v>52</v>
      </c>
      <c r="C9" s="11" t="s">
        <v>191</v>
      </c>
      <c r="D9" s="11">
        <v>1</v>
      </c>
      <c r="E9" s="11">
        <v>1</v>
      </c>
      <c r="F9" s="11" t="s">
        <v>172</v>
      </c>
      <c r="G9" s="11" t="s">
        <v>192</v>
      </c>
      <c r="H9" s="11">
        <v>140</v>
      </c>
      <c r="I9" s="11" t="s">
        <v>51</v>
      </c>
      <c r="J9" s="11" t="s">
        <v>178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193</v>
      </c>
      <c r="B10" s="11" t="s">
        <v>52</v>
      </c>
      <c r="C10" s="11" t="s">
        <v>194</v>
      </c>
      <c r="D10" s="11">
        <v>1</v>
      </c>
      <c r="E10" s="11">
        <v>1</v>
      </c>
      <c r="F10" s="11" t="s">
        <v>172</v>
      </c>
      <c r="G10" s="11" t="s">
        <v>195</v>
      </c>
      <c r="H10" s="11">
        <v>38</v>
      </c>
      <c r="I10" s="11" t="s">
        <v>51</v>
      </c>
      <c r="J10" s="11" t="s">
        <v>178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196</v>
      </c>
      <c r="B11" s="11" t="s">
        <v>50</v>
      </c>
      <c r="C11" s="11" t="s">
        <v>197</v>
      </c>
      <c r="D11" s="11">
        <v>1</v>
      </c>
      <c r="E11" s="11">
        <v>1</v>
      </c>
      <c r="F11" s="11" t="s">
        <v>172</v>
      </c>
      <c r="G11" s="11" t="s">
        <v>198</v>
      </c>
      <c r="H11" s="11">
        <v>112</v>
      </c>
      <c r="I11" s="11" t="s">
        <v>51</v>
      </c>
      <c r="J11" s="11" t="s">
        <v>199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200</v>
      </c>
      <c r="B12" s="11" t="s">
        <v>52</v>
      </c>
      <c r="C12" s="11" t="s">
        <v>201</v>
      </c>
      <c r="D12" s="11">
        <v>1</v>
      </c>
      <c r="E12" s="11">
        <v>1</v>
      </c>
      <c r="F12" s="11" t="s">
        <v>172</v>
      </c>
      <c r="G12" s="11" t="s">
        <v>202</v>
      </c>
      <c r="H12" s="11">
        <v>24</v>
      </c>
      <c r="I12" s="11" t="s">
        <v>51</v>
      </c>
      <c r="J12" s="11" t="s">
        <v>199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203</v>
      </c>
      <c r="B13" s="11" t="s">
        <v>3</v>
      </c>
      <c r="C13" s="11" t="s">
        <v>204</v>
      </c>
      <c r="D13" s="11">
        <v>1</v>
      </c>
      <c r="E13" s="11">
        <v>1</v>
      </c>
      <c r="F13" s="11" t="s">
        <v>172</v>
      </c>
      <c r="G13" s="11" t="s">
        <v>205</v>
      </c>
      <c r="H13" s="11">
        <v>78</v>
      </c>
      <c r="I13" s="11" t="s">
        <v>51</v>
      </c>
      <c r="J13" s="11" t="s">
        <v>206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207</v>
      </c>
      <c r="B14" s="11" t="s">
        <v>52</v>
      </c>
      <c r="C14" s="11" t="s">
        <v>208</v>
      </c>
      <c r="D14" s="11">
        <v>1</v>
      </c>
      <c r="E14" s="11">
        <v>1</v>
      </c>
      <c r="F14" s="11" t="s">
        <v>172</v>
      </c>
      <c r="G14" s="11" t="s">
        <v>209</v>
      </c>
      <c r="H14" s="11">
        <v>31</v>
      </c>
      <c r="I14" s="11" t="s">
        <v>51</v>
      </c>
      <c r="J14" s="11" t="s">
        <v>210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211</v>
      </c>
      <c r="B15" s="11" t="s">
        <v>3</v>
      </c>
      <c r="C15" s="11" t="s">
        <v>212</v>
      </c>
      <c r="D15" s="11">
        <v>1</v>
      </c>
      <c r="E15" s="11">
        <v>1</v>
      </c>
      <c r="F15" s="11" t="s">
        <v>181</v>
      </c>
      <c r="G15" s="11" t="s">
        <v>213</v>
      </c>
      <c r="H15" s="11">
        <v>44</v>
      </c>
      <c r="I15" s="11" t="s">
        <v>51</v>
      </c>
      <c r="J15" s="11" t="s">
        <v>214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215</v>
      </c>
      <c r="B16" s="11" t="s">
        <v>3</v>
      </c>
      <c r="C16" s="11" t="s">
        <v>216</v>
      </c>
      <c r="D16" s="11">
        <v>1</v>
      </c>
      <c r="E16" s="11">
        <v>1</v>
      </c>
      <c r="F16" s="11" t="s">
        <v>217</v>
      </c>
      <c r="G16" s="11" t="s">
        <v>218</v>
      </c>
      <c r="H16" s="11">
        <v>65</v>
      </c>
      <c r="I16" s="11" t="s">
        <v>51</v>
      </c>
      <c r="J16" s="11" t="s">
        <v>219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220</v>
      </c>
      <c r="B17" s="11" t="s">
        <v>3</v>
      </c>
      <c r="C17" s="11" t="s">
        <v>221</v>
      </c>
      <c r="D17" s="11">
        <v>1</v>
      </c>
      <c r="E17" s="11">
        <v>1</v>
      </c>
      <c r="F17" s="11" t="s">
        <v>172</v>
      </c>
      <c r="G17" s="11" t="s">
        <v>222</v>
      </c>
      <c r="H17" s="11">
        <v>26</v>
      </c>
      <c r="I17" s="11" t="s">
        <v>51</v>
      </c>
      <c r="J17" s="11" t="s">
        <v>223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224</v>
      </c>
      <c r="B18" s="11" t="s">
        <v>3</v>
      </c>
      <c r="C18" s="11" t="s">
        <v>225</v>
      </c>
      <c r="D18" s="11">
        <v>1</v>
      </c>
      <c r="E18" s="11">
        <v>1</v>
      </c>
      <c r="F18" s="11" t="s">
        <v>181</v>
      </c>
      <c r="G18" s="11" t="s">
        <v>226</v>
      </c>
      <c r="H18" s="11">
        <v>18</v>
      </c>
      <c r="I18" s="11" t="s">
        <v>51</v>
      </c>
      <c r="J18" s="11" t="s">
        <v>227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228</v>
      </c>
      <c r="B19" s="11" t="s">
        <v>3</v>
      </c>
      <c r="C19" s="11" t="s">
        <v>229</v>
      </c>
      <c r="D19" s="11">
        <v>1</v>
      </c>
      <c r="E19" s="11">
        <v>1</v>
      </c>
      <c r="F19" s="11" t="s">
        <v>172</v>
      </c>
      <c r="G19" s="11" t="s">
        <v>198</v>
      </c>
      <c r="H19" s="11">
        <v>42</v>
      </c>
      <c r="I19" s="11" t="s">
        <v>51</v>
      </c>
      <c r="J19" s="11" t="s">
        <v>230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231</v>
      </c>
      <c r="B20" s="11" t="s">
        <v>52</v>
      </c>
      <c r="C20" s="11" t="s">
        <v>232</v>
      </c>
      <c r="D20" s="11">
        <v>1</v>
      </c>
      <c r="E20" s="11">
        <v>1</v>
      </c>
      <c r="F20" s="11" t="s">
        <v>172</v>
      </c>
      <c r="G20" s="11" t="s">
        <v>233</v>
      </c>
      <c r="H20" s="11">
        <v>29</v>
      </c>
      <c r="I20" s="11" t="s">
        <v>51</v>
      </c>
      <c r="J20" s="11" t="s">
        <v>234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235</v>
      </c>
      <c r="B21" s="11" t="s">
        <v>3</v>
      </c>
      <c r="C21" s="11" t="s">
        <v>236</v>
      </c>
      <c r="D21" s="11">
        <v>1</v>
      </c>
      <c r="E21" s="11">
        <v>1</v>
      </c>
      <c r="F21" s="11" t="s">
        <v>181</v>
      </c>
      <c r="G21" s="11" t="s">
        <v>213</v>
      </c>
      <c r="H21" s="11">
        <v>36</v>
      </c>
      <c r="I21" s="11" t="s">
        <v>51</v>
      </c>
      <c r="J21" s="11" t="s">
        <v>237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238</v>
      </c>
      <c r="B22" s="11" t="s">
        <v>3</v>
      </c>
      <c r="C22" s="11" t="s">
        <v>239</v>
      </c>
      <c r="D22" s="11">
        <v>1</v>
      </c>
      <c r="E22" s="11">
        <v>1</v>
      </c>
      <c r="F22" s="11" t="s">
        <v>172</v>
      </c>
      <c r="G22" s="11" t="s">
        <v>240</v>
      </c>
      <c r="H22" s="11">
        <v>22</v>
      </c>
      <c r="I22" s="11" t="s">
        <v>51</v>
      </c>
      <c r="J22" s="11" t="s">
        <v>241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242</v>
      </c>
      <c r="B23" s="11" t="s">
        <v>3</v>
      </c>
      <c r="C23" s="11" t="s">
        <v>243</v>
      </c>
      <c r="D23" s="11">
        <v>1</v>
      </c>
      <c r="E23" s="11">
        <v>1</v>
      </c>
      <c r="F23" s="11" t="s">
        <v>217</v>
      </c>
      <c r="G23" s="11" t="s">
        <v>28</v>
      </c>
      <c r="H23" s="11">
        <v>14</v>
      </c>
      <c r="I23" s="11" t="s">
        <v>51</v>
      </c>
      <c r="J23" s="11" t="s">
        <v>244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245</v>
      </c>
      <c r="B24" s="11" t="s">
        <v>3</v>
      </c>
      <c r="C24" s="11" t="s">
        <v>246</v>
      </c>
      <c r="D24" s="11">
        <v>1</v>
      </c>
      <c r="E24" s="11">
        <v>1</v>
      </c>
      <c r="F24" s="11" t="s">
        <v>217</v>
      </c>
      <c r="G24" s="11" t="s">
        <v>247</v>
      </c>
      <c r="H24" s="11">
        <v>30</v>
      </c>
      <c r="I24" s="11" t="s">
        <v>248</v>
      </c>
      <c r="J24" s="11" t="s">
        <v>249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250</v>
      </c>
      <c r="B25" s="11" t="s">
        <v>52</v>
      </c>
      <c r="C25" s="11" t="s">
        <v>251</v>
      </c>
      <c r="D25" s="11">
        <v>1</v>
      </c>
      <c r="E25" s="11">
        <v>1</v>
      </c>
      <c r="F25" s="11" t="s">
        <v>217</v>
      </c>
      <c r="G25" s="11" t="s">
        <v>252</v>
      </c>
      <c r="H25" s="11">
        <v>55</v>
      </c>
      <c r="I25" s="11" t="s">
        <v>51</v>
      </c>
      <c r="J25" s="11" t="s">
        <v>253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254</v>
      </c>
      <c r="B26" s="11" t="s">
        <v>52</v>
      </c>
      <c r="C26" s="11" t="s">
        <v>255</v>
      </c>
      <c r="D26" s="11">
        <v>1</v>
      </c>
      <c r="E26" s="11">
        <v>1</v>
      </c>
      <c r="F26" s="11" t="s">
        <v>217</v>
      </c>
      <c r="G26" s="11" t="s">
        <v>256</v>
      </c>
      <c r="H26" s="11">
        <v>48</v>
      </c>
      <c r="I26" s="11" t="s">
        <v>51</v>
      </c>
      <c r="J26" s="11" t="s">
        <v>257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258</v>
      </c>
      <c r="B27" s="11" t="s">
        <v>3</v>
      </c>
      <c r="C27" s="11" t="s">
        <v>259</v>
      </c>
      <c r="D27" s="11">
        <v>1</v>
      </c>
      <c r="E27" s="11">
        <v>1</v>
      </c>
      <c r="F27" s="11" t="s">
        <v>181</v>
      </c>
      <c r="G27" s="11" t="s">
        <v>7</v>
      </c>
      <c r="H27" s="11">
        <v>12</v>
      </c>
      <c r="I27" s="11" t="s">
        <v>51</v>
      </c>
      <c r="J27" s="11" t="s">
        <v>219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260</v>
      </c>
      <c r="B28" s="11" t="s">
        <v>3</v>
      </c>
      <c r="C28" s="11" t="s">
        <v>261</v>
      </c>
      <c r="D28" s="11">
        <v>1</v>
      </c>
      <c r="E28" s="11">
        <v>1</v>
      </c>
      <c r="F28" s="11" t="s">
        <v>217</v>
      </c>
      <c r="G28" s="11" t="s">
        <v>53</v>
      </c>
      <c r="H28" s="11">
        <v>16</v>
      </c>
      <c r="I28" s="11" t="s">
        <v>51</v>
      </c>
      <c r="J28" s="11" t="s">
        <v>262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263</v>
      </c>
      <c r="D30" s="14" t="s">
        <v>264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265</v>
      </c>
      <c r="D31" s="11">
        <f>SUM(H4:H28)</f>
        <v>1596</v>
      </c>
      <c r="E31" s="11" t="s">
        <v>266</v>
      </c>
      <c r="F31" s="11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268</v>
      </c>
      <c r="D32" s="11">
        <f>SUMPRODUCT(--(D4:D28&lt;&gt;E4:E28))</f>
        <v>1</v>
      </c>
      <c r="E32" s="11" t="s">
        <v>16</v>
      </c>
      <c r="F32" s="11" t="s">
        <v>269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>
      <selection activeCell="A6" sqref="A6"/>
    </sheetView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3" t="s">
        <v>1049</v>
      </c>
      <c r="B1" s="52"/>
      <c r="C1" s="13"/>
      <c r="D1" s="22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270</v>
      </c>
      <c r="B3" s="14" t="s">
        <v>9</v>
      </c>
      <c r="C3" s="14" t="s">
        <v>92</v>
      </c>
      <c r="D3" s="14" t="s">
        <v>271</v>
      </c>
      <c r="E3" s="14" t="s">
        <v>0</v>
      </c>
      <c r="F3" s="14" t="s">
        <v>272</v>
      </c>
      <c r="G3" s="14" t="s">
        <v>6</v>
      </c>
      <c r="H3" s="14" t="s">
        <v>273</v>
      </c>
      <c r="I3" s="14" t="s">
        <v>274</v>
      </c>
      <c r="J3" s="14" t="s">
        <v>275</v>
      </c>
      <c r="K3" s="14" t="s">
        <v>276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277</v>
      </c>
      <c r="B4" s="15">
        <v>40959</v>
      </c>
      <c r="C4" s="11" t="s">
        <v>98</v>
      </c>
      <c r="D4" s="11" t="s">
        <v>278</v>
      </c>
      <c r="E4" s="11" t="s">
        <v>279</v>
      </c>
      <c r="F4" s="11" t="s">
        <v>79</v>
      </c>
      <c r="G4" s="11" t="s">
        <v>11</v>
      </c>
      <c r="H4" s="11" t="s">
        <v>280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357</v>
      </c>
      <c r="O4" s="11">
        <f>COUNTA(A4:A27)</f>
        <v>24</v>
      </c>
      <c r="P4" s="11" t="s">
        <v>267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281</v>
      </c>
      <c r="B5" s="15">
        <v>41043</v>
      </c>
      <c r="C5" s="11" t="s">
        <v>98</v>
      </c>
      <c r="D5" s="11" t="s">
        <v>102</v>
      </c>
      <c r="E5" s="11" t="s">
        <v>282</v>
      </c>
      <c r="F5" s="11" t="s">
        <v>37</v>
      </c>
      <c r="G5" s="11" t="s">
        <v>10</v>
      </c>
      <c r="H5" s="11" t="s">
        <v>283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358</v>
      </c>
      <c r="O5" s="11">
        <f>COUNTIF(K4:K27,"Accepted")+COUNTIF(K4:K27,"Closed with lessons")+COUNTIF(K4:K27,"Rejected from scope")</f>
        <v>24</v>
      </c>
      <c r="P5" s="11" t="s">
        <v>267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284</v>
      </c>
      <c r="B6" s="15">
        <v>41159</v>
      </c>
      <c r="C6" s="11" t="s">
        <v>98</v>
      </c>
      <c r="D6" s="11" t="s">
        <v>285</v>
      </c>
      <c r="E6" s="11" t="s">
        <v>286</v>
      </c>
      <c r="F6" s="11" t="s">
        <v>70</v>
      </c>
      <c r="G6" s="11" t="s">
        <v>11</v>
      </c>
      <c r="H6" s="11" t="s">
        <v>287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359</v>
      </c>
      <c r="O6" s="11">
        <f>COUNTIF(G4:G27,"Critical")</f>
        <v>8</v>
      </c>
      <c r="P6" s="11" t="s">
        <v>360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288</v>
      </c>
      <c r="B7" s="15">
        <v>41390</v>
      </c>
      <c r="C7" s="11" t="s">
        <v>23</v>
      </c>
      <c r="D7" s="11" t="s">
        <v>289</v>
      </c>
      <c r="E7" s="11" t="s">
        <v>290</v>
      </c>
      <c r="F7" s="11" t="s">
        <v>291</v>
      </c>
      <c r="G7" s="11" t="s">
        <v>12</v>
      </c>
      <c r="H7" s="11" t="s">
        <v>287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361</v>
      </c>
      <c r="O7" s="11">
        <f>SUM(I4:I27)</f>
        <v>945</v>
      </c>
      <c r="P7" s="11" t="s">
        <v>362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292</v>
      </c>
      <c r="B8" s="15">
        <v>41600</v>
      </c>
      <c r="C8" s="11" t="s">
        <v>23</v>
      </c>
      <c r="D8" s="11" t="s">
        <v>293</v>
      </c>
      <c r="E8" s="11" t="s">
        <v>294</v>
      </c>
      <c r="F8" s="11" t="s">
        <v>295</v>
      </c>
      <c r="G8" s="11" t="s">
        <v>11</v>
      </c>
      <c r="H8" s="11" t="s">
        <v>296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363</v>
      </c>
      <c r="O8" s="11">
        <f>SUM(J4:J27)</f>
        <v>78</v>
      </c>
      <c r="P8" s="11" t="s">
        <v>362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297</v>
      </c>
      <c r="B9" s="15">
        <v>41530</v>
      </c>
      <c r="C9" s="11" t="s">
        <v>23</v>
      </c>
      <c r="D9" s="11" t="s">
        <v>71</v>
      </c>
      <c r="E9" s="11" t="s">
        <v>298</v>
      </c>
      <c r="F9" s="11" t="s">
        <v>299</v>
      </c>
      <c r="G9" s="11" t="s">
        <v>10</v>
      </c>
      <c r="H9" s="11" t="s">
        <v>300</v>
      </c>
      <c r="I9" s="11">
        <v>0</v>
      </c>
      <c r="J9" s="11">
        <v>0</v>
      </c>
      <c r="K9" s="11" t="s">
        <v>301</v>
      </c>
      <c r="L9" s="11" t="s">
        <v>71</v>
      </c>
      <c r="M9" s="11"/>
      <c r="N9" s="11" t="s">
        <v>364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302</v>
      </c>
      <c r="B10" s="15">
        <v>41673</v>
      </c>
      <c r="C10" s="11" t="s">
        <v>23</v>
      </c>
      <c r="D10" s="11" t="s">
        <v>303</v>
      </c>
      <c r="E10" s="11" t="s">
        <v>304</v>
      </c>
      <c r="F10" s="11" t="s">
        <v>39</v>
      </c>
      <c r="G10" s="11" t="s">
        <v>11</v>
      </c>
      <c r="H10" s="11" t="s">
        <v>305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306</v>
      </c>
      <c r="B11" s="15">
        <v>41814</v>
      </c>
      <c r="C11" s="11" t="s">
        <v>23</v>
      </c>
      <c r="D11" s="11" t="s">
        <v>55</v>
      </c>
      <c r="E11" s="11" t="s">
        <v>307</v>
      </c>
      <c r="F11" s="11" t="s">
        <v>55</v>
      </c>
      <c r="G11" s="11" t="s">
        <v>10</v>
      </c>
      <c r="H11" s="11" t="s">
        <v>308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309</v>
      </c>
      <c r="B12" s="15">
        <v>41925</v>
      </c>
      <c r="C12" s="11" t="s">
        <v>23</v>
      </c>
      <c r="D12" s="11" t="s">
        <v>102</v>
      </c>
      <c r="E12" s="11" t="s">
        <v>310</v>
      </c>
      <c r="F12" s="11" t="s">
        <v>226</v>
      </c>
      <c r="G12" s="11" t="s">
        <v>10</v>
      </c>
      <c r="H12" s="11" t="s">
        <v>300</v>
      </c>
      <c r="I12" s="11">
        <v>0</v>
      </c>
      <c r="J12" s="11">
        <v>0</v>
      </c>
      <c r="K12" s="11" t="s">
        <v>301</v>
      </c>
      <c r="L12" s="11" t="s">
        <v>137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311</v>
      </c>
      <c r="B13" s="15">
        <v>42027</v>
      </c>
      <c r="C13" s="11" t="s">
        <v>121</v>
      </c>
      <c r="D13" s="11" t="s">
        <v>122</v>
      </c>
      <c r="E13" s="11" t="s">
        <v>312</v>
      </c>
      <c r="F13" s="11" t="s">
        <v>124</v>
      </c>
      <c r="G13" s="11" t="s">
        <v>11</v>
      </c>
      <c r="H13" s="11" t="s">
        <v>313</v>
      </c>
      <c r="I13" s="11">
        <v>40</v>
      </c>
      <c r="J13" s="11">
        <v>3</v>
      </c>
      <c r="K13" s="11" t="s">
        <v>26</v>
      </c>
      <c r="L13" s="11" t="s">
        <v>124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314</v>
      </c>
      <c r="B14" s="15">
        <v>42153</v>
      </c>
      <c r="C14" s="11" t="s">
        <v>121</v>
      </c>
      <c r="D14" s="11" t="s">
        <v>56</v>
      </c>
      <c r="E14" s="11" t="s">
        <v>315</v>
      </c>
      <c r="F14" s="11" t="s">
        <v>56</v>
      </c>
      <c r="G14" s="11" t="s">
        <v>11</v>
      </c>
      <c r="H14" s="11" t="s">
        <v>313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316</v>
      </c>
      <c r="B15" s="15">
        <v>42277</v>
      </c>
      <c r="C15" s="11" t="s">
        <v>121</v>
      </c>
      <c r="D15" s="11" t="s">
        <v>317</v>
      </c>
      <c r="E15" s="11" t="s">
        <v>318</v>
      </c>
      <c r="F15" s="11" t="s">
        <v>319</v>
      </c>
      <c r="G15" s="11" t="s">
        <v>11</v>
      </c>
      <c r="H15" s="11" t="s">
        <v>320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321</v>
      </c>
      <c r="B16" s="15">
        <v>42419</v>
      </c>
      <c r="C16" s="11" t="s">
        <v>24</v>
      </c>
      <c r="D16" s="11" t="s">
        <v>78</v>
      </c>
      <c r="E16" s="11" t="s">
        <v>322</v>
      </c>
      <c r="F16" s="11" t="s">
        <v>78</v>
      </c>
      <c r="G16" s="11" t="s">
        <v>10</v>
      </c>
      <c r="H16" s="11" t="s">
        <v>296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323</v>
      </c>
      <c r="B17" s="15">
        <v>42579</v>
      </c>
      <c r="C17" s="11" t="s">
        <v>24</v>
      </c>
      <c r="D17" s="11" t="s">
        <v>34</v>
      </c>
      <c r="E17" s="11" t="s">
        <v>324</v>
      </c>
      <c r="F17" s="11" t="s">
        <v>34</v>
      </c>
      <c r="G17" s="11" t="s">
        <v>10</v>
      </c>
      <c r="H17" s="11" t="s">
        <v>325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326</v>
      </c>
      <c r="B18" s="15">
        <v>42766</v>
      </c>
      <c r="C18" s="11" t="s">
        <v>77</v>
      </c>
      <c r="D18" s="11" t="s">
        <v>327</v>
      </c>
      <c r="E18" s="11" t="s">
        <v>328</v>
      </c>
      <c r="F18" s="11" t="s">
        <v>77</v>
      </c>
      <c r="G18" s="11" t="s">
        <v>12</v>
      </c>
      <c r="H18" s="11" t="s">
        <v>329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330</v>
      </c>
      <c r="B19" s="15">
        <v>43280</v>
      </c>
      <c r="C19" s="11" t="s">
        <v>77</v>
      </c>
      <c r="D19" s="11" t="s">
        <v>331</v>
      </c>
      <c r="E19" s="11" t="s">
        <v>332</v>
      </c>
      <c r="F19" s="11" t="s">
        <v>47</v>
      </c>
      <c r="G19" s="11" t="s">
        <v>11</v>
      </c>
      <c r="H19" s="11" t="s">
        <v>287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333</v>
      </c>
      <c r="B20" s="15">
        <v>43546</v>
      </c>
      <c r="C20" s="11" t="s">
        <v>77</v>
      </c>
      <c r="D20" s="11" t="s">
        <v>334</v>
      </c>
      <c r="E20" s="11" t="s">
        <v>335</v>
      </c>
      <c r="F20" s="11" t="s">
        <v>147</v>
      </c>
      <c r="G20" s="11" t="s">
        <v>10</v>
      </c>
      <c r="H20" s="11" t="s">
        <v>300</v>
      </c>
      <c r="I20" s="11">
        <v>0</v>
      </c>
      <c r="J20" s="11">
        <v>-18</v>
      </c>
      <c r="K20" s="11" t="s">
        <v>336</v>
      </c>
      <c r="L20" s="11" t="s">
        <v>147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337</v>
      </c>
      <c r="B21" s="15">
        <v>44183</v>
      </c>
      <c r="C21" s="11" t="s">
        <v>77</v>
      </c>
      <c r="D21" s="11" t="s">
        <v>85</v>
      </c>
      <c r="E21" s="11" t="s">
        <v>338</v>
      </c>
      <c r="F21" s="11" t="s">
        <v>27</v>
      </c>
      <c r="G21" s="11" t="s">
        <v>11</v>
      </c>
      <c r="H21" s="11" t="s">
        <v>320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339</v>
      </c>
      <c r="B22" s="15">
        <v>44428</v>
      </c>
      <c r="C22" s="11" t="s">
        <v>77</v>
      </c>
      <c r="D22" s="11" t="s">
        <v>340</v>
      </c>
      <c r="E22" s="11" t="s">
        <v>341</v>
      </c>
      <c r="F22" s="11" t="s">
        <v>56</v>
      </c>
      <c r="G22" s="11" t="s">
        <v>12</v>
      </c>
      <c r="H22" s="11" t="s">
        <v>342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343</v>
      </c>
      <c r="B23" s="15">
        <v>44666</v>
      </c>
      <c r="C23" s="11" t="s">
        <v>77</v>
      </c>
      <c r="D23" s="11" t="s">
        <v>147</v>
      </c>
      <c r="E23" s="11" t="s">
        <v>344</v>
      </c>
      <c r="F23" s="11" t="s">
        <v>147</v>
      </c>
      <c r="G23" s="11" t="s">
        <v>11</v>
      </c>
      <c r="H23" s="11" t="s">
        <v>320</v>
      </c>
      <c r="I23" s="11">
        <v>20</v>
      </c>
      <c r="J23" s="11">
        <v>9</v>
      </c>
      <c r="K23" s="11" t="s">
        <v>26</v>
      </c>
      <c r="L23" s="11" t="s">
        <v>147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345</v>
      </c>
      <c r="B24" s="15">
        <v>45240</v>
      </c>
      <c r="C24" s="11" t="s">
        <v>77</v>
      </c>
      <c r="D24" s="11" t="s">
        <v>70</v>
      </c>
      <c r="E24" s="11" t="s">
        <v>346</v>
      </c>
      <c r="F24" s="11" t="s">
        <v>70</v>
      </c>
      <c r="G24" s="11" t="s">
        <v>11</v>
      </c>
      <c r="H24" s="11" t="s">
        <v>320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347</v>
      </c>
      <c r="B25" s="15">
        <v>45569</v>
      </c>
      <c r="C25" s="11" t="s">
        <v>77</v>
      </c>
      <c r="D25" s="11" t="s">
        <v>348</v>
      </c>
      <c r="E25" s="11" t="s">
        <v>349</v>
      </c>
      <c r="F25" s="11" t="s">
        <v>27</v>
      </c>
      <c r="G25" s="11" t="s">
        <v>11</v>
      </c>
      <c r="H25" s="11" t="s">
        <v>320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350</v>
      </c>
      <c r="B26" s="15">
        <v>45835</v>
      </c>
      <c r="C26" s="11" t="s">
        <v>77</v>
      </c>
      <c r="D26" s="11" t="s">
        <v>351</v>
      </c>
      <c r="E26" s="11" t="s">
        <v>352</v>
      </c>
      <c r="F26" s="11" t="s">
        <v>77</v>
      </c>
      <c r="G26" s="11" t="s">
        <v>12</v>
      </c>
      <c r="H26" s="11" t="s">
        <v>320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353</v>
      </c>
      <c r="B27" s="15">
        <v>46183</v>
      </c>
      <c r="C27" s="11" t="s">
        <v>77</v>
      </c>
      <c r="D27" s="11" t="s">
        <v>354</v>
      </c>
      <c r="E27" s="11" t="s">
        <v>355</v>
      </c>
      <c r="F27" s="11" t="s">
        <v>356</v>
      </c>
      <c r="G27" s="11" t="s">
        <v>10</v>
      </c>
      <c r="H27" s="11" t="s">
        <v>320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/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2">
      <c r="A1" s="49" t="s">
        <v>365</v>
      </c>
      <c r="B1" s="50">
        <v>41043</v>
      </c>
      <c r="C1" s="51" t="s">
        <v>281</v>
      </c>
      <c r="D1" s="51" t="s">
        <v>370</v>
      </c>
      <c r="E1" s="51" t="s">
        <v>98</v>
      </c>
      <c r="F1" s="51" t="s">
        <v>371</v>
      </c>
      <c r="G1" s="11" t="s">
        <v>372</v>
      </c>
      <c r="H1" s="11" t="s">
        <v>373</v>
      </c>
      <c r="I1" s="11" t="s">
        <v>374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262</v>
      </c>
      <c r="B2" s="15">
        <v>41530</v>
      </c>
      <c r="C2" s="11" t="s">
        <v>297</v>
      </c>
      <c r="D2" s="11" t="s">
        <v>375</v>
      </c>
      <c r="E2" s="11" t="s">
        <v>23</v>
      </c>
      <c r="F2" s="11" t="s">
        <v>376</v>
      </c>
      <c r="G2" s="11" t="s">
        <v>377</v>
      </c>
      <c r="H2" s="11" t="s">
        <v>378</v>
      </c>
      <c r="I2" s="11" t="s">
        <v>374</v>
      </c>
      <c r="J2" s="11" t="s">
        <v>71</v>
      </c>
      <c r="K2" s="11" t="s">
        <v>379</v>
      </c>
      <c r="L2" s="11">
        <v>0</v>
      </c>
      <c r="M2" s="11">
        <v>0</v>
      </c>
      <c r="N2" s="11" t="s">
        <v>14</v>
      </c>
      <c r="O2" s="11" t="s">
        <v>380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253</v>
      </c>
      <c r="B3" s="15">
        <v>41673</v>
      </c>
      <c r="C3" s="11" t="s">
        <v>302</v>
      </c>
      <c r="D3" s="11" t="s">
        <v>381</v>
      </c>
      <c r="E3" s="11" t="s">
        <v>23</v>
      </c>
      <c r="F3" s="11" t="s">
        <v>382</v>
      </c>
      <c r="G3" s="11" t="s">
        <v>383</v>
      </c>
      <c r="H3" s="11" t="s">
        <v>384</v>
      </c>
      <c r="I3" s="11" t="s">
        <v>385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214</v>
      </c>
      <c r="B4" s="15">
        <v>41814</v>
      </c>
      <c r="C4" s="11" t="s">
        <v>306</v>
      </c>
      <c r="D4" s="11" t="s">
        <v>386</v>
      </c>
      <c r="E4" s="11" t="s">
        <v>23</v>
      </c>
      <c r="F4" s="11" t="s">
        <v>387</v>
      </c>
      <c r="G4" s="11" t="s">
        <v>388</v>
      </c>
      <c r="H4" s="11" t="s">
        <v>389</v>
      </c>
      <c r="I4" s="11" t="s">
        <v>385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183</v>
      </c>
      <c r="B5" s="15">
        <v>41925</v>
      </c>
      <c r="C5" s="11" t="s">
        <v>309</v>
      </c>
      <c r="D5" s="11" t="s">
        <v>390</v>
      </c>
      <c r="E5" s="11" t="s">
        <v>23</v>
      </c>
      <c r="F5" s="11" t="s">
        <v>391</v>
      </c>
      <c r="G5" s="11" t="s">
        <v>377</v>
      </c>
      <c r="H5" s="11" t="s">
        <v>392</v>
      </c>
      <c r="I5" s="11" t="s">
        <v>374</v>
      </c>
      <c r="J5" s="11" t="s">
        <v>137</v>
      </c>
      <c r="K5" s="11" t="s">
        <v>379</v>
      </c>
      <c r="L5" s="11">
        <v>0</v>
      </c>
      <c r="M5" s="11">
        <v>0</v>
      </c>
      <c r="N5" s="11" t="s">
        <v>14</v>
      </c>
      <c r="O5" s="11" t="s">
        <v>380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178</v>
      </c>
      <c r="B6" s="15">
        <v>42027</v>
      </c>
      <c r="C6" s="11" t="s">
        <v>311</v>
      </c>
      <c r="D6" s="11" t="s">
        <v>393</v>
      </c>
      <c r="E6" s="11" t="s">
        <v>121</v>
      </c>
      <c r="F6" s="11" t="s">
        <v>394</v>
      </c>
      <c r="G6" s="11" t="s">
        <v>395</v>
      </c>
      <c r="H6" s="11" t="s">
        <v>396</v>
      </c>
      <c r="I6" s="11" t="s">
        <v>397</v>
      </c>
      <c r="J6" s="11" t="s">
        <v>124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234</v>
      </c>
      <c r="B7" s="15">
        <v>42153</v>
      </c>
      <c r="C7" s="11" t="s">
        <v>314</v>
      </c>
      <c r="D7" s="11" t="s">
        <v>398</v>
      </c>
      <c r="E7" s="11" t="s">
        <v>121</v>
      </c>
      <c r="F7" s="11" t="s">
        <v>399</v>
      </c>
      <c r="G7" s="11" t="s">
        <v>400</v>
      </c>
      <c r="H7" s="11" t="s">
        <v>401</v>
      </c>
      <c r="I7" s="11" t="s">
        <v>397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206</v>
      </c>
      <c r="B8" s="15">
        <v>42419</v>
      </c>
      <c r="C8" s="11" t="s">
        <v>321</v>
      </c>
      <c r="D8" s="11" t="s">
        <v>402</v>
      </c>
      <c r="E8" s="11" t="s">
        <v>24</v>
      </c>
      <c r="F8" s="11" t="s">
        <v>403</v>
      </c>
      <c r="G8" s="11" t="s">
        <v>404</v>
      </c>
      <c r="H8" s="11" t="s">
        <v>396</v>
      </c>
      <c r="I8" s="11" t="s">
        <v>405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199</v>
      </c>
      <c r="B9" s="15">
        <v>42579</v>
      </c>
      <c r="C9" s="11" t="s">
        <v>323</v>
      </c>
      <c r="D9" s="11" t="s">
        <v>406</v>
      </c>
      <c r="E9" s="11" t="s">
        <v>24</v>
      </c>
      <c r="F9" s="11" t="s">
        <v>407</v>
      </c>
      <c r="G9" s="11" t="s">
        <v>408</v>
      </c>
      <c r="H9" s="11" t="s">
        <v>409</v>
      </c>
      <c r="I9" s="11" t="s">
        <v>405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219</v>
      </c>
      <c r="B10" s="15">
        <v>42766</v>
      </c>
      <c r="C10" s="11" t="s">
        <v>326</v>
      </c>
      <c r="D10" s="11" t="s">
        <v>410</v>
      </c>
      <c r="E10" s="11" t="s">
        <v>77</v>
      </c>
      <c r="F10" s="11" t="s">
        <v>411</v>
      </c>
      <c r="G10" s="11" t="s">
        <v>412</v>
      </c>
      <c r="H10" s="11" t="s">
        <v>413</v>
      </c>
      <c r="I10" s="11" t="s">
        <v>414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174</v>
      </c>
      <c r="B11" s="15">
        <v>43546</v>
      </c>
      <c r="C11" s="11" t="s">
        <v>333</v>
      </c>
      <c r="D11" s="11" t="s">
        <v>415</v>
      </c>
      <c r="E11" s="11" t="s">
        <v>77</v>
      </c>
      <c r="F11" s="11" t="s">
        <v>416</v>
      </c>
      <c r="G11" s="11" t="s">
        <v>417</v>
      </c>
      <c r="H11" s="11" t="s">
        <v>418</v>
      </c>
      <c r="I11" s="11" t="s">
        <v>414</v>
      </c>
      <c r="J11" s="11" t="s">
        <v>147</v>
      </c>
      <c r="K11" s="11" t="s">
        <v>379</v>
      </c>
      <c r="L11" s="11">
        <v>0</v>
      </c>
      <c r="M11" s="11">
        <v>-18</v>
      </c>
      <c r="N11" s="11" t="s">
        <v>14</v>
      </c>
      <c r="O11" s="11" t="s">
        <v>380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223</v>
      </c>
      <c r="B12" s="15">
        <v>45240</v>
      </c>
      <c r="C12" s="11" t="s">
        <v>345</v>
      </c>
      <c r="D12" s="11" t="s">
        <v>419</v>
      </c>
      <c r="E12" s="11" t="s">
        <v>77</v>
      </c>
      <c r="F12" s="11" t="s">
        <v>420</v>
      </c>
      <c r="G12" s="11" t="s">
        <v>421</v>
      </c>
      <c r="H12" s="11" t="s">
        <v>422</v>
      </c>
      <c r="I12" s="11" t="s">
        <v>414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230</v>
      </c>
      <c r="B13" s="15">
        <v>46183</v>
      </c>
      <c r="C13" s="11" t="s">
        <v>353</v>
      </c>
      <c r="D13" s="11" t="s">
        <v>424</v>
      </c>
      <c r="E13" s="11" t="s">
        <v>77</v>
      </c>
      <c r="F13" s="11" t="s">
        <v>425</v>
      </c>
      <c r="G13" s="11" t="s">
        <v>426</v>
      </c>
      <c r="H13" s="11" t="s">
        <v>427</v>
      </c>
      <c r="I13" s="11" t="s">
        <v>414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249</v>
      </c>
      <c r="B14" s="15">
        <v>46183</v>
      </c>
      <c r="C14" s="11" t="s">
        <v>353</v>
      </c>
      <c r="D14" s="11" t="s">
        <v>429</v>
      </c>
      <c r="E14" s="11" t="s">
        <v>77</v>
      </c>
      <c r="F14" s="11" t="s">
        <v>430</v>
      </c>
      <c r="G14" s="11" t="s">
        <v>431</v>
      </c>
      <c r="H14" s="11" t="s">
        <v>432</v>
      </c>
      <c r="I14" s="11" t="s">
        <v>414</v>
      </c>
      <c r="J14" s="11" t="s">
        <v>27</v>
      </c>
      <c r="K14" s="11" t="s">
        <v>379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433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M5" sqref="M5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37.5">
      <c r="A1" s="23" t="s">
        <v>1047</v>
      </c>
      <c r="B1" s="22"/>
      <c r="C1" s="22"/>
      <c r="D1" s="22"/>
      <c r="E1" s="22"/>
      <c r="F1" s="22"/>
      <c r="G1" s="22"/>
      <c r="H1" s="22"/>
      <c r="I1" s="22"/>
      <c r="J1" s="22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367</v>
      </c>
      <c r="B3" s="14" t="s">
        <v>92</v>
      </c>
      <c r="C3" s="14" t="s">
        <v>68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73</v>
      </c>
      <c r="I3" s="14" t="s">
        <v>438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368</v>
      </c>
      <c r="B4" s="11" t="s">
        <v>98</v>
      </c>
      <c r="C4" s="12">
        <v>40983</v>
      </c>
      <c r="D4" s="11" t="s">
        <v>439</v>
      </c>
      <c r="E4" s="11" t="s">
        <v>440</v>
      </c>
      <c r="F4" s="11" t="s">
        <v>441</v>
      </c>
      <c r="G4" s="11" t="s">
        <v>442</v>
      </c>
      <c r="H4" s="11" t="s">
        <v>443</v>
      </c>
      <c r="I4" s="11" t="s">
        <v>444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374</v>
      </c>
      <c r="B5" s="11" t="s">
        <v>445</v>
      </c>
      <c r="C5" s="12">
        <v>41263</v>
      </c>
      <c r="D5" s="11" t="s">
        <v>446</v>
      </c>
      <c r="E5" s="11" t="s">
        <v>447</v>
      </c>
      <c r="F5" s="11" t="s">
        <v>448</v>
      </c>
      <c r="G5" s="11" t="s">
        <v>449</v>
      </c>
      <c r="H5" s="11" t="s">
        <v>450</v>
      </c>
      <c r="I5" s="11" t="s">
        <v>451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385</v>
      </c>
      <c r="B6" s="11" t="s">
        <v>452</v>
      </c>
      <c r="C6" s="12">
        <v>41925</v>
      </c>
      <c r="D6" s="11" t="s">
        <v>453</v>
      </c>
      <c r="E6" s="11" t="s">
        <v>454</v>
      </c>
      <c r="F6" s="11" t="s">
        <v>455</v>
      </c>
      <c r="G6" s="11" t="s">
        <v>456</v>
      </c>
      <c r="H6" s="11" t="s">
        <v>443</v>
      </c>
      <c r="I6" s="11" t="s">
        <v>457</v>
      </c>
      <c r="J6" s="11" t="s">
        <v>110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397</v>
      </c>
      <c r="B7" s="11" t="s">
        <v>121</v>
      </c>
      <c r="C7" s="12">
        <v>42277</v>
      </c>
      <c r="D7" s="11" t="s">
        <v>458</v>
      </c>
      <c r="E7" s="11" t="s">
        <v>459</v>
      </c>
      <c r="F7" s="11" t="s">
        <v>460</v>
      </c>
      <c r="G7" s="11" t="s">
        <v>461</v>
      </c>
      <c r="H7" s="11" t="s">
        <v>443</v>
      </c>
      <c r="I7" s="11" t="s">
        <v>462</v>
      </c>
      <c r="J7" s="11" t="s">
        <v>124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405</v>
      </c>
      <c r="B8" s="11" t="s">
        <v>24</v>
      </c>
      <c r="C8" s="12">
        <v>42579</v>
      </c>
      <c r="D8" s="11" t="s">
        <v>463</v>
      </c>
      <c r="E8" s="11" t="s">
        <v>464</v>
      </c>
      <c r="F8" s="11" t="s">
        <v>465</v>
      </c>
      <c r="G8" s="11" t="s">
        <v>466</v>
      </c>
      <c r="H8" s="11" t="s">
        <v>443</v>
      </c>
      <c r="I8" s="11" t="s">
        <v>467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414</v>
      </c>
      <c r="B9" s="11" t="s">
        <v>468</v>
      </c>
      <c r="C9" s="12">
        <v>42766</v>
      </c>
      <c r="D9" s="11" t="s">
        <v>469</v>
      </c>
      <c r="E9" s="11" t="s">
        <v>470</v>
      </c>
      <c r="F9" s="11" t="s">
        <v>471</v>
      </c>
      <c r="G9" s="11" t="s">
        <v>472</v>
      </c>
      <c r="H9" s="11" t="s">
        <v>473</v>
      </c>
      <c r="I9" s="11" t="s">
        <v>474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475</v>
      </c>
      <c r="B10" s="11" t="s">
        <v>476</v>
      </c>
      <c r="C10" s="12">
        <v>43546</v>
      </c>
      <c r="D10" s="11" t="s">
        <v>477</v>
      </c>
      <c r="E10" s="11" t="s">
        <v>478</v>
      </c>
      <c r="F10" s="11" t="s">
        <v>479</v>
      </c>
      <c r="G10" s="11" t="s">
        <v>480</v>
      </c>
      <c r="H10" s="11" t="s">
        <v>336</v>
      </c>
      <c r="I10" s="11" t="s">
        <v>481</v>
      </c>
      <c r="J10" s="11" t="s">
        <v>147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482</v>
      </c>
      <c r="B12" s="14" t="s">
        <v>162</v>
      </c>
      <c r="C12" s="14" t="s">
        <v>30</v>
      </c>
      <c r="D12" s="14" t="s">
        <v>483</v>
      </c>
      <c r="E12" s="14" t="s">
        <v>484</v>
      </c>
      <c r="F12" s="14" t="s">
        <v>485</v>
      </c>
      <c r="G12" s="14" t="s">
        <v>486</v>
      </c>
      <c r="H12" s="14" t="s">
        <v>487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488</v>
      </c>
      <c r="C13" s="11" t="s">
        <v>489</v>
      </c>
      <c r="D13" s="11" t="s">
        <v>490</v>
      </c>
      <c r="E13" s="11" t="s">
        <v>443</v>
      </c>
      <c r="F13" s="11">
        <v>0</v>
      </c>
      <c r="G13" s="11" t="s">
        <v>491</v>
      </c>
      <c r="H13" s="11" t="s">
        <v>492</v>
      </c>
      <c r="I13" s="11" t="s">
        <v>37</v>
      </c>
      <c r="J13" s="11" t="s">
        <v>380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176</v>
      </c>
      <c r="C14" s="11" t="s">
        <v>493</v>
      </c>
      <c r="D14" s="11" t="s">
        <v>494</v>
      </c>
      <c r="E14" s="11" t="s">
        <v>443</v>
      </c>
      <c r="F14" s="11">
        <v>1</v>
      </c>
      <c r="G14" s="11" t="s">
        <v>495</v>
      </c>
      <c r="H14" s="11" t="s">
        <v>492</v>
      </c>
      <c r="I14" s="11" t="s">
        <v>55</v>
      </c>
      <c r="J14" s="11" t="s">
        <v>380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194</v>
      </c>
      <c r="C15" s="11" t="s">
        <v>496</v>
      </c>
      <c r="D15" s="11" t="s">
        <v>497</v>
      </c>
      <c r="E15" s="11" t="s">
        <v>443</v>
      </c>
      <c r="F15" s="11">
        <v>0</v>
      </c>
      <c r="G15" s="11" t="s">
        <v>491</v>
      </c>
      <c r="H15" s="11" t="s">
        <v>492</v>
      </c>
      <c r="I15" s="11" t="s">
        <v>55</v>
      </c>
      <c r="J15" s="11" t="s">
        <v>380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498</v>
      </c>
      <c r="C16" s="11" t="s">
        <v>499</v>
      </c>
      <c r="D16" s="11" t="s">
        <v>497</v>
      </c>
      <c r="E16" s="11" t="s">
        <v>443</v>
      </c>
      <c r="F16" s="11">
        <v>2</v>
      </c>
      <c r="G16" s="11" t="s">
        <v>500</v>
      </c>
      <c r="H16" s="11" t="s">
        <v>501</v>
      </c>
      <c r="I16" s="11" t="s">
        <v>39</v>
      </c>
      <c r="J16" s="11" t="s">
        <v>380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502</v>
      </c>
      <c r="C17" s="11" t="s">
        <v>503</v>
      </c>
      <c r="D17" s="11" t="s">
        <v>504</v>
      </c>
      <c r="E17" s="11" t="s">
        <v>505</v>
      </c>
      <c r="F17" s="11">
        <v>1</v>
      </c>
      <c r="G17" s="11" t="s">
        <v>506</v>
      </c>
      <c r="H17" s="11" t="s">
        <v>507</v>
      </c>
      <c r="I17" s="11" t="s">
        <v>147</v>
      </c>
      <c r="J17" s="11" t="s">
        <v>508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229</v>
      </c>
      <c r="C18" s="11" t="s">
        <v>509</v>
      </c>
      <c r="D18" s="11" t="s">
        <v>510</v>
      </c>
      <c r="E18" s="11" t="s">
        <v>443</v>
      </c>
      <c r="F18" s="11">
        <v>0</v>
      </c>
      <c r="G18" s="11" t="s">
        <v>491</v>
      </c>
      <c r="H18" s="11" t="s">
        <v>492</v>
      </c>
      <c r="I18" s="11" t="s">
        <v>56</v>
      </c>
      <c r="J18" s="11" t="s">
        <v>380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511</v>
      </c>
      <c r="C19" s="11" t="s">
        <v>512</v>
      </c>
      <c r="D19" s="11" t="s">
        <v>513</v>
      </c>
      <c r="E19" s="11" t="s">
        <v>443</v>
      </c>
      <c r="F19" s="11">
        <v>0</v>
      </c>
      <c r="G19" s="11" t="s">
        <v>491</v>
      </c>
      <c r="H19" s="11" t="s">
        <v>492</v>
      </c>
      <c r="I19" s="11" t="s">
        <v>78</v>
      </c>
      <c r="J19" s="11" t="s">
        <v>380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514</v>
      </c>
      <c r="C20" s="11" t="s">
        <v>515</v>
      </c>
      <c r="D20" s="11" t="s">
        <v>516</v>
      </c>
      <c r="E20" s="11" t="s">
        <v>517</v>
      </c>
      <c r="F20" s="11">
        <v>2</v>
      </c>
      <c r="G20" s="11" t="s">
        <v>518</v>
      </c>
      <c r="H20" s="11" t="s">
        <v>519</v>
      </c>
      <c r="I20" s="11" t="s">
        <v>71</v>
      </c>
      <c r="J20" s="11" t="s">
        <v>380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520</v>
      </c>
      <c r="C21" s="11" t="s">
        <v>521</v>
      </c>
      <c r="D21" s="11" t="s">
        <v>522</v>
      </c>
      <c r="E21" s="11" t="s">
        <v>443</v>
      </c>
      <c r="F21" s="11">
        <v>0</v>
      </c>
      <c r="G21" s="11" t="s">
        <v>523</v>
      </c>
      <c r="H21" s="11" t="s">
        <v>524</v>
      </c>
      <c r="I21" s="11" t="s">
        <v>70</v>
      </c>
      <c r="J21" s="11" t="s">
        <v>380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525</v>
      </c>
      <c r="C22" s="11" t="s">
        <v>526</v>
      </c>
      <c r="D22" s="11" t="s">
        <v>527</v>
      </c>
      <c r="E22" s="11" t="s">
        <v>443</v>
      </c>
      <c r="F22" s="11">
        <v>0</v>
      </c>
      <c r="G22" s="11" t="s">
        <v>528</v>
      </c>
      <c r="H22" s="11" t="s">
        <v>529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530</v>
      </c>
      <c r="C23" s="11" t="s">
        <v>531</v>
      </c>
      <c r="D23" s="11" t="s">
        <v>532</v>
      </c>
      <c r="E23" s="11" t="s">
        <v>443</v>
      </c>
      <c r="F23" s="11">
        <v>0</v>
      </c>
      <c r="G23" s="11" t="s">
        <v>533</v>
      </c>
      <c r="H23" s="11" t="s">
        <v>529</v>
      </c>
      <c r="I23" s="11" t="s">
        <v>534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535</v>
      </c>
      <c r="C24" s="11" t="s">
        <v>536</v>
      </c>
      <c r="D24" s="11" t="s">
        <v>537</v>
      </c>
      <c r="E24" s="11" t="s">
        <v>443</v>
      </c>
      <c r="F24" s="11">
        <v>0</v>
      </c>
      <c r="G24" s="11" t="s">
        <v>538</v>
      </c>
      <c r="H24" s="11" t="s">
        <v>539</v>
      </c>
      <c r="I24" s="11" t="s">
        <v>147</v>
      </c>
      <c r="J24" s="11" t="s">
        <v>380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540</v>
      </c>
      <c r="B25" s="11" t="s">
        <v>541</v>
      </c>
      <c r="C25" s="11" t="s">
        <v>542</v>
      </c>
      <c r="D25" s="11" t="s">
        <v>543</v>
      </c>
      <c r="E25" s="11" t="s">
        <v>443</v>
      </c>
      <c r="F25" s="11">
        <v>0</v>
      </c>
      <c r="G25" s="11" t="s">
        <v>544</v>
      </c>
      <c r="H25" s="11" t="s">
        <v>492</v>
      </c>
      <c r="I25" s="11" t="s">
        <v>70</v>
      </c>
      <c r="J25" s="11" t="s">
        <v>380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545</v>
      </c>
      <c r="B26" s="11" t="s">
        <v>546</v>
      </c>
      <c r="C26" s="11" t="s">
        <v>547</v>
      </c>
      <c r="D26" s="11" t="s">
        <v>548</v>
      </c>
      <c r="E26" s="11" t="s">
        <v>443</v>
      </c>
      <c r="F26" s="11">
        <v>0</v>
      </c>
      <c r="G26" s="11" t="s">
        <v>549</v>
      </c>
      <c r="H26" s="11" t="s">
        <v>85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22" workbookViewId="0">
      <selection activeCell="G41" sqref="G41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20" t="s">
        <v>550</v>
      </c>
      <c r="B1" s="20"/>
      <c r="C1" s="20"/>
    </row>
    <row r="3" spans="1:15">
      <c r="A3" t="s">
        <v>551</v>
      </c>
      <c r="B3" t="s">
        <v>21</v>
      </c>
      <c r="C3" t="s">
        <v>552</v>
      </c>
      <c r="D3" t="s">
        <v>553</v>
      </c>
      <c r="E3" t="s">
        <v>554</v>
      </c>
      <c r="F3" t="s">
        <v>555</v>
      </c>
      <c r="G3" t="s">
        <v>556</v>
      </c>
      <c r="H3" t="s">
        <v>557</v>
      </c>
      <c r="I3" t="s">
        <v>558</v>
      </c>
      <c r="J3" t="s">
        <v>559</v>
      </c>
      <c r="K3" t="s">
        <v>560</v>
      </c>
      <c r="L3" t="s">
        <v>561</v>
      </c>
      <c r="M3" t="s">
        <v>562</v>
      </c>
      <c r="N3" t="s">
        <v>563</v>
      </c>
      <c r="O3" t="s">
        <v>564</v>
      </c>
    </row>
    <row r="4" spans="1:15">
      <c r="A4" t="s">
        <v>565</v>
      </c>
      <c r="B4" t="s">
        <v>3</v>
      </c>
      <c r="C4" t="s">
        <v>566</v>
      </c>
      <c r="D4" s="10">
        <v>42510</v>
      </c>
      <c r="E4" t="s">
        <v>567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568</v>
      </c>
      <c r="K4" t="s">
        <v>443</v>
      </c>
      <c r="L4" t="s">
        <v>443</v>
      </c>
      <c r="M4" t="s">
        <v>443</v>
      </c>
      <c r="N4" t="s">
        <v>13</v>
      </c>
      <c r="O4" t="s">
        <v>569</v>
      </c>
    </row>
    <row r="5" spans="1:15">
      <c r="A5" t="s">
        <v>570</v>
      </c>
      <c r="B5" t="s">
        <v>3</v>
      </c>
      <c r="C5" t="s">
        <v>566</v>
      </c>
      <c r="D5" s="10">
        <v>42531</v>
      </c>
      <c r="E5" t="s">
        <v>567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571</v>
      </c>
      <c r="K5" t="s">
        <v>443</v>
      </c>
      <c r="L5" t="s">
        <v>443</v>
      </c>
      <c r="M5" t="s">
        <v>443</v>
      </c>
      <c r="N5" t="s">
        <v>13</v>
      </c>
      <c r="O5" t="s">
        <v>572</v>
      </c>
    </row>
    <row r="6" spans="1:15">
      <c r="A6" t="s">
        <v>573</v>
      </c>
      <c r="B6" t="s">
        <v>3</v>
      </c>
      <c r="C6" t="s">
        <v>566</v>
      </c>
      <c r="D6" s="10">
        <v>42559</v>
      </c>
      <c r="E6" t="s">
        <v>567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574</v>
      </c>
      <c r="K6" t="s">
        <v>443</v>
      </c>
      <c r="L6" t="s">
        <v>443</v>
      </c>
      <c r="M6" t="s">
        <v>443</v>
      </c>
      <c r="N6" t="s">
        <v>13</v>
      </c>
      <c r="O6" t="s">
        <v>575</v>
      </c>
    </row>
    <row r="7" spans="1:15">
      <c r="A7" t="s">
        <v>576</v>
      </c>
      <c r="B7" t="s">
        <v>3</v>
      </c>
      <c r="C7" t="s">
        <v>566</v>
      </c>
      <c r="D7" s="10">
        <v>42594</v>
      </c>
      <c r="E7" t="s">
        <v>567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577</v>
      </c>
      <c r="K7" t="s">
        <v>443</v>
      </c>
      <c r="L7" t="s">
        <v>443</v>
      </c>
      <c r="M7" t="s">
        <v>443</v>
      </c>
      <c r="N7" t="s">
        <v>12</v>
      </c>
      <c r="O7" t="s">
        <v>578</v>
      </c>
    </row>
    <row r="8" spans="1:15">
      <c r="A8" t="s">
        <v>579</v>
      </c>
      <c r="B8" t="s">
        <v>3</v>
      </c>
      <c r="C8" t="s">
        <v>566</v>
      </c>
      <c r="D8" s="10">
        <v>42629</v>
      </c>
      <c r="E8" t="s">
        <v>567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580</v>
      </c>
      <c r="K8" t="s">
        <v>443</v>
      </c>
      <c r="L8" t="s">
        <v>443</v>
      </c>
      <c r="M8" t="s">
        <v>443</v>
      </c>
      <c r="N8" t="s">
        <v>12</v>
      </c>
      <c r="O8" t="s">
        <v>581</v>
      </c>
    </row>
    <row r="9" spans="1:15">
      <c r="A9" t="s">
        <v>582</v>
      </c>
      <c r="B9" t="s">
        <v>3</v>
      </c>
      <c r="C9" t="s">
        <v>566</v>
      </c>
      <c r="D9" s="10">
        <v>42657</v>
      </c>
      <c r="E9" t="s">
        <v>567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583</v>
      </c>
      <c r="K9" t="s">
        <v>443</v>
      </c>
      <c r="L9" t="s">
        <v>443</v>
      </c>
      <c r="M9" t="s">
        <v>443</v>
      </c>
      <c r="N9" t="s">
        <v>13</v>
      </c>
      <c r="O9" t="s">
        <v>584</v>
      </c>
    </row>
    <row r="10" spans="1:15">
      <c r="A10" t="s">
        <v>585</v>
      </c>
      <c r="B10" t="s">
        <v>3</v>
      </c>
      <c r="C10" t="s">
        <v>586</v>
      </c>
      <c r="D10" t="s">
        <v>29</v>
      </c>
      <c r="E10" t="s">
        <v>587</v>
      </c>
      <c r="F10">
        <v>0</v>
      </c>
      <c r="G10">
        <v>0</v>
      </c>
      <c r="H10">
        <v>0</v>
      </c>
      <c r="I10">
        <v>0</v>
      </c>
      <c r="J10" t="s">
        <v>588</v>
      </c>
      <c r="K10" t="s">
        <v>589</v>
      </c>
      <c r="L10" t="s">
        <v>29</v>
      </c>
      <c r="M10" t="s">
        <v>29</v>
      </c>
      <c r="N10" t="s">
        <v>380</v>
      </c>
      <c r="O10" t="s">
        <v>590</v>
      </c>
    </row>
    <row r="11" spans="1:15">
      <c r="A11" t="s">
        <v>591</v>
      </c>
      <c r="B11" t="s">
        <v>52</v>
      </c>
      <c r="C11" t="s">
        <v>566</v>
      </c>
      <c r="D11" s="10">
        <v>42692</v>
      </c>
      <c r="E11" t="s">
        <v>567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592</v>
      </c>
      <c r="K11" t="s">
        <v>443</v>
      </c>
      <c r="L11" t="s">
        <v>443</v>
      </c>
      <c r="M11" t="s">
        <v>443</v>
      </c>
      <c r="N11" t="s">
        <v>12</v>
      </c>
      <c r="O11" t="s">
        <v>593</v>
      </c>
    </row>
    <row r="12" spans="1:15">
      <c r="A12" t="s">
        <v>537</v>
      </c>
      <c r="B12" t="s">
        <v>52</v>
      </c>
      <c r="C12" t="s">
        <v>594</v>
      </c>
      <c r="D12" s="10">
        <v>42755</v>
      </c>
      <c r="E12" t="s">
        <v>595</v>
      </c>
      <c r="F12">
        <v>0.25</v>
      </c>
      <c r="G12">
        <v>0</v>
      </c>
      <c r="H12">
        <v>0</v>
      </c>
      <c r="I12">
        <v>1.08</v>
      </c>
      <c r="J12" t="s">
        <v>596</v>
      </c>
      <c r="K12" t="s">
        <v>443</v>
      </c>
      <c r="L12" t="s">
        <v>443</v>
      </c>
      <c r="M12" t="s">
        <v>589</v>
      </c>
      <c r="N12" t="s">
        <v>380</v>
      </c>
      <c r="O12" t="s">
        <v>597</v>
      </c>
    </row>
    <row r="13" spans="1:15">
      <c r="A13" t="s">
        <v>598</v>
      </c>
      <c r="B13" t="s">
        <v>52</v>
      </c>
      <c r="C13" t="s">
        <v>566</v>
      </c>
      <c r="D13" s="10">
        <v>42783</v>
      </c>
      <c r="E13" t="s">
        <v>567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599</v>
      </c>
      <c r="K13" t="s">
        <v>443</v>
      </c>
      <c r="L13" t="s">
        <v>443</v>
      </c>
      <c r="M13" t="s">
        <v>443</v>
      </c>
      <c r="N13" t="s">
        <v>13</v>
      </c>
      <c r="O13" t="s">
        <v>600</v>
      </c>
    </row>
    <row r="14" spans="1:15">
      <c r="A14" t="s">
        <v>601</v>
      </c>
      <c r="B14" t="s">
        <v>52</v>
      </c>
      <c r="C14" t="s">
        <v>566</v>
      </c>
      <c r="D14" s="10">
        <v>42811</v>
      </c>
      <c r="E14" t="s">
        <v>567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602</v>
      </c>
      <c r="K14" t="s">
        <v>443</v>
      </c>
      <c r="L14" t="s">
        <v>443</v>
      </c>
      <c r="M14" t="s">
        <v>443</v>
      </c>
      <c r="N14" t="s">
        <v>12</v>
      </c>
      <c r="O14" t="s">
        <v>603</v>
      </c>
    </row>
    <row r="15" spans="1:15">
      <c r="A15" t="s">
        <v>604</v>
      </c>
      <c r="B15" t="s">
        <v>52</v>
      </c>
      <c r="C15" t="s">
        <v>586</v>
      </c>
      <c r="D15" t="s">
        <v>29</v>
      </c>
      <c r="E15" t="s">
        <v>587</v>
      </c>
      <c r="F15">
        <v>0</v>
      </c>
      <c r="G15">
        <v>0</v>
      </c>
      <c r="H15">
        <v>0</v>
      </c>
      <c r="I15">
        <v>0</v>
      </c>
      <c r="J15" t="s">
        <v>605</v>
      </c>
      <c r="K15" t="s">
        <v>589</v>
      </c>
      <c r="L15" t="s">
        <v>29</v>
      </c>
      <c r="M15" t="s">
        <v>29</v>
      </c>
      <c r="N15" t="s">
        <v>380</v>
      </c>
      <c r="O15" t="s">
        <v>590</v>
      </c>
    </row>
    <row r="16" spans="1:15">
      <c r="A16" t="s">
        <v>606</v>
      </c>
      <c r="B16" t="s">
        <v>52</v>
      </c>
      <c r="C16" t="s">
        <v>566</v>
      </c>
      <c r="D16" s="10">
        <v>42846</v>
      </c>
      <c r="E16" t="s">
        <v>567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607</v>
      </c>
      <c r="K16" t="s">
        <v>443</v>
      </c>
      <c r="L16" t="s">
        <v>443</v>
      </c>
      <c r="M16" t="s">
        <v>443</v>
      </c>
      <c r="N16" t="s">
        <v>13</v>
      </c>
      <c r="O16" t="s">
        <v>608</v>
      </c>
    </row>
    <row r="17" spans="1:15">
      <c r="A17" t="s">
        <v>609</v>
      </c>
      <c r="B17" t="s">
        <v>52</v>
      </c>
      <c r="C17" t="s">
        <v>566</v>
      </c>
      <c r="D17" s="10">
        <v>42874</v>
      </c>
      <c r="E17" t="s">
        <v>567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610</v>
      </c>
      <c r="K17" t="s">
        <v>443</v>
      </c>
      <c r="L17" t="s">
        <v>443</v>
      </c>
      <c r="M17" t="s">
        <v>443</v>
      </c>
      <c r="N17" t="s">
        <v>13</v>
      </c>
      <c r="O17" t="s">
        <v>611</v>
      </c>
    </row>
    <row r="20" spans="1:15">
      <c r="A20" t="s">
        <v>35</v>
      </c>
      <c r="B20" t="s">
        <v>612</v>
      </c>
      <c r="C20" t="s">
        <v>613</v>
      </c>
      <c r="D20" t="s">
        <v>614</v>
      </c>
      <c r="E20" t="s">
        <v>615</v>
      </c>
      <c r="F20" t="s">
        <v>616</v>
      </c>
      <c r="G20" t="s">
        <v>617</v>
      </c>
      <c r="H20" t="s">
        <v>8</v>
      </c>
      <c r="J20" t="s">
        <v>662</v>
      </c>
      <c r="K20" t="s">
        <v>663</v>
      </c>
      <c r="L20" t="s">
        <v>664</v>
      </c>
      <c r="M20" t="s">
        <v>8</v>
      </c>
    </row>
    <row r="21" spans="1:15">
      <c r="A21" t="s">
        <v>36</v>
      </c>
      <c r="B21" t="s">
        <v>618</v>
      </c>
      <c r="C21" t="s">
        <v>619</v>
      </c>
      <c r="D21" t="s">
        <v>12</v>
      </c>
      <c r="E21" t="s">
        <v>11</v>
      </c>
      <c r="F21" t="s">
        <v>11</v>
      </c>
      <c r="G21" t="s">
        <v>620</v>
      </c>
      <c r="H21" t="s">
        <v>621</v>
      </c>
      <c r="J21" t="s">
        <v>665</v>
      </c>
      <c r="K21">
        <v>14</v>
      </c>
      <c r="L21" t="s">
        <v>666</v>
      </c>
      <c r="M21" t="s">
        <v>267</v>
      </c>
    </row>
    <row r="22" spans="1:15">
      <c r="A22" t="s">
        <v>38</v>
      </c>
      <c r="B22" t="s">
        <v>39</v>
      </c>
      <c r="C22" t="s">
        <v>622</v>
      </c>
      <c r="D22" t="s">
        <v>12</v>
      </c>
      <c r="E22" t="s">
        <v>11</v>
      </c>
      <c r="F22" t="s">
        <v>11</v>
      </c>
      <c r="G22" t="s">
        <v>623</v>
      </c>
      <c r="H22" t="s">
        <v>621</v>
      </c>
      <c r="J22" t="s">
        <v>667</v>
      </c>
      <c r="K22">
        <v>2</v>
      </c>
      <c r="L22" t="s">
        <v>668</v>
      </c>
      <c r="M22" t="s">
        <v>267</v>
      </c>
    </row>
    <row r="23" spans="1:15">
      <c r="A23" t="s">
        <v>40</v>
      </c>
      <c r="B23" t="s">
        <v>55</v>
      </c>
      <c r="C23" t="s">
        <v>624</v>
      </c>
      <c r="D23" t="s">
        <v>13</v>
      </c>
      <c r="E23" t="s">
        <v>11</v>
      </c>
      <c r="F23" t="s">
        <v>12</v>
      </c>
      <c r="G23" t="s">
        <v>625</v>
      </c>
      <c r="H23" t="s">
        <v>626</v>
      </c>
      <c r="J23" t="s">
        <v>669</v>
      </c>
      <c r="K23">
        <f>K21-K22</f>
        <v>12</v>
      </c>
      <c r="L23" t="s">
        <v>670</v>
      </c>
      <c r="M23" t="s">
        <v>267</v>
      </c>
    </row>
    <row r="24" spans="1:15">
      <c r="A24" t="s">
        <v>41</v>
      </c>
      <c r="B24" t="s">
        <v>71</v>
      </c>
      <c r="C24" t="s">
        <v>627</v>
      </c>
      <c r="D24" t="s">
        <v>13</v>
      </c>
      <c r="E24" t="s">
        <v>11</v>
      </c>
      <c r="F24" t="s">
        <v>12</v>
      </c>
      <c r="G24" t="s">
        <v>628</v>
      </c>
      <c r="H24" t="s">
        <v>380</v>
      </c>
      <c r="J24" t="s">
        <v>671</v>
      </c>
      <c r="K24">
        <v>1</v>
      </c>
      <c r="L24" t="s">
        <v>537</v>
      </c>
      <c r="M24" t="s">
        <v>380</v>
      </c>
    </row>
    <row r="25" spans="1:15">
      <c r="A25" t="s">
        <v>42</v>
      </c>
      <c r="B25" t="s">
        <v>56</v>
      </c>
      <c r="C25" t="s">
        <v>629</v>
      </c>
      <c r="D25" t="s">
        <v>13</v>
      </c>
      <c r="E25" t="s">
        <v>12</v>
      </c>
      <c r="F25" t="s">
        <v>13</v>
      </c>
      <c r="G25" t="s">
        <v>630</v>
      </c>
      <c r="H25" t="s">
        <v>626</v>
      </c>
      <c r="J25" t="s">
        <v>672</v>
      </c>
      <c r="K25">
        <f>COUNTIF(E4:E17,"Active")</f>
        <v>11</v>
      </c>
      <c r="L25" t="s">
        <v>673</v>
      </c>
      <c r="M25" t="s">
        <v>19</v>
      </c>
    </row>
    <row r="26" spans="1:15">
      <c r="A26" t="s">
        <v>43</v>
      </c>
      <c r="B26" t="s">
        <v>285</v>
      </c>
      <c r="C26" t="s">
        <v>631</v>
      </c>
      <c r="D26" t="s">
        <v>13</v>
      </c>
      <c r="E26" t="s">
        <v>11</v>
      </c>
      <c r="F26" t="s">
        <v>12</v>
      </c>
      <c r="G26" t="s">
        <v>632</v>
      </c>
      <c r="H26" t="s">
        <v>626</v>
      </c>
      <c r="J26" t="s">
        <v>674</v>
      </c>
      <c r="K26">
        <v>11</v>
      </c>
      <c r="L26" t="s">
        <v>675</v>
      </c>
      <c r="M26" t="s">
        <v>19</v>
      </c>
    </row>
    <row r="27" spans="1:15">
      <c r="A27" t="s">
        <v>44</v>
      </c>
      <c r="B27" t="s">
        <v>285</v>
      </c>
      <c r="C27" t="s">
        <v>633</v>
      </c>
      <c r="D27" t="s">
        <v>12</v>
      </c>
      <c r="E27" t="s">
        <v>12</v>
      </c>
      <c r="F27" t="s">
        <v>12</v>
      </c>
      <c r="G27" t="s">
        <v>634</v>
      </c>
      <c r="H27" t="s">
        <v>621</v>
      </c>
      <c r="J27" t="s">
        <v>676</v>
      </c>
      <c r="K27">
        <f>K25-K26</f>
        <v>0</v>
      </c>
      <c r="L27" t="s">
        <v>677</v>
      </c>
      <c r="M27" t="s">
        <v>19</v>
      </c>
    </row>
    <row r="28" spans="1:15">
      <c r="A28" t="s">
        <v>45</v>
      </c>
      <c r="B28" t="s">
        <v>47</v>
      </c>
      <c r="C28" t="s">
        <v>635</v>
      </c>
      <c r="D28" t="s">
        <v>13</v>
      </c>
      <c r="E28" t="s">
        <v>11</v>
      </c>
      <c r="F28" t="s">
        <v>12</v>
      </c>
      <c r="G28" t="s">
        <v>636</v>
      </c>
      <c r="H28" t="s">
        <v>626</v>
      </c>
    </row>
    <row r="29" spans="1:15">
      <c r="A29" t="s">
        <v>46</v>
      </c>
      <c r="B29" t="s">
        <v>78</v>
      </c>
      <c r="C29" t="s">
        <v>637</v>
      </c>
      <c r="D29" t="s">
        <v>13</v>
      </c>
      <c r="E29" t="s">
        <v>14</v>
      </c>
      <c r="F29" t="s">
        <v>12</v>
      </c>
      <c r="G29" t="s">
        <v>638</v>
      </c>
      <c r="H29" t="s">
        <v>626</v>
      </c>
    </row>
    <row r="30" spans="1:15">
      <c r="A30" t="s">
        <v>48</v>
      </c>
      <c r="B30" t="s">
        <v>34</v>
      </c>
      <c r="C30" t="s">
        <v>639</v>
      </c>
      <c r="D30" t="s">
        <v>12</v>
      </c>
      <c r="E30" t="s">
        <v>12</v>
      </c>
      <c r="F30" t="s">
        <v>12</v>
      </c>
      <c r="G30" t="s">
        <v>640</v>
      </c>
      <c r="H30" t="s">
        <v>380</v>
      </c>
    </row>
    <row r="31" spans="1:15">
      <c r="A31" t="s">
        <v>641</v>
      </c>
      <c r="B31" t="s">
        <v>147</v>
      </c>
      <c r="C31" t="s">
        <v>642</v>
      </c>
      <c r="D31" t="s">
        <v>13</v>
      </c>
      <c r="E31" t="s">
        <v>11</v>
      </c>
      <c r="F31" t="s">
        <v>12</v>
      </c>
      <c r="G31" t="s">
        <v>643</v>
      </c>
      <c r="H31" t="s">
        <v>626</v>
      </c>
    </row>
    <row r="32" spans="1:15">
      <c r="A32" t="s">
        <v>644</v>
      </c>
      <c r="B32" t="s">
        <v>645</v>
      </c>
      <c r="C32" t="s">
        <v>646</v>
      </c>
      <c r="D32" t="s">
        <v>13</v>
      </c>
      <c r="E32" t="s">
        <v>12</v>
      </c>
      <c r="F32" t="s">
        <v>13</v>
      </c>
      <c r="G32" t="s">
        <v>647</v>
      </c>
      <c r="H32" t="s">
        <v>380</v>
      </c>
    </row>
    <row r="33" spans="1:18">
      <c r="A33" t="s">
        <v>648</v>
      </c>
      <c r="B33" t="s">
        <v>530</v>
      </c>
      <c r="C33" t="s">
        <v>649</v>
      </c>
      <c r="D33" t="s">
        <v>13</v>
      </c>
      <c r="E33" t="s">
        <v>11</v>
      </c>
      <c r="F33" t="s">
        <v>12</v>
      </c>
      <c r="G33" t="s">
        <v>650</v>
      </c>
      <c r="H33" t="s">
        <v>626</v>
      </c>
    </row>
    <row r="34" spans="1:18">
      <c r="A34" t="s">
        <v>651</v>
      </c>
      <c r="B34" t="s">
        <v>652</v>
      </c>
      <c r="C34" t="s">
        <v>653</v>
      </c>
      <c r="D34" t="s">
        <v>12</v>
      </c>
      <c r="E34" t="s">
        <v>11</v>
      </c>
      <c r="F34" t="s">
        <v>11</v>
      </c>
      <c r="G34" t="s">
        <v>654</v>
      </c>
      <c r="H34" t="s">
        <v>621</v>
      </c>
    </row>
    <row r="35" spans="1:18">
      <c r="A35" t="s">
        <v>655</v>
      </c>
      <c r="B35" t="s">
        <v>656</v>
      </c>
      <c r="C35" t="s">
        <v>657</v>
      </c>
      <c r="D35" t="s">
        <v>13</v>
      </c>
      <c r="E35" t="s">
        <v>11</v>
      </c>
      <c r="F35" t="s">
        <v>12</v>
      </c>
      <c r="G35" t="s">
        <v>658</v>
      </c>
      <c r="H35" t="s">
        <v>626</v>
      </c>
    </row>
    <row r="36" spans="1:18">
      <c r="A36" t="s">
        <v>659</v>
      </c>
      <c r="B36" t="s">
        <v>7</v>
      </c>
      <c r="C36" t="s">
        <v>660</v>
      </c>
      <c r="D36" t="s">
        <v>13</v>
      </c>
      <c r="E36" t="s">
        <v>12</v>
      </c>
      <c r="F36" t="s">
        <v>13</v>
      </c>
      <c r="G36" t="s">
        <v>661</v>
      </c>
      <c r="H36" t="s">
        <v>626</v>
      </c>
    </row>
    <row r="40" spans="1:18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</row>
    <row r="41" spans="1:18" ht="18.75">
      <c r="A41" s="59" t="s">
        <v>1120</v>
      </c>
      <c r="B41" s="59"/>
      <c r="C41" s="59" t="s">
        <v>1121</v>
      </c>
      <c r="D41" s="59"/>
      <c r="E41" s="39" t="s">
        <v>9</v>
      </c>
      <c r="F41" s="38"/>
      <c r="G41" s="38"/>
      <c r="H41" s="38"/>
      <c r="I41" s="40"/>
      <c r="J41" s="38"/>
      <c r="K41" s="38"/>
      <c r="L41" s="38"/>
      <c r="M41" s="38"/>
      <c r="N41" s="38"/>
      <c r="O41" s="41" t="s">
        <v>1090</v>
      </c>
      <c r="P41" s="42"/>
      <c r="Q41" s="42"/>
      <c r="R41" s="43"/>
    </row>
    <row r="42" spans="1:18" ht="18.75">
      <c r="A42" s="60"/>
      <c r="B42" s="60"/>
      <c r="C42" s="60"/>
      <c r="D42" s="60"/>
      <c r="E42" s="44"/>
      <c r="F42" s="38"/>
      <c r="G42" s="38"/>
      <c r="H42" s="38"/>
      <c r="I42" s="40"/>
      <c r="J42" s="38"/>
      <c r="K42" s="38"/>
      <c r="L42" s="38"/>
      <c r="M42" s="38"/>
      <c r="N42" s="38"/>
      <c r="O42" s="45" t="s">
        <v>1091</v>
      </c>
      <c r="P42" s="46"/>
      <c r="Q42" s="46"/>
      <c r="R42" s="47"/>
    </row>
    <row r="43" spans="1:18" ht="18.75">
      <c r="A43" s="38"/>
      <c r="B43" s="38"/>
      <c r="C43" s="38"/>
      <c r="D43" s="38"/>
      <c r="E43" s="38"/>
      <c r="F43" s="38"/>
      <c r="G43" s="38"/>
      <c r="H43" s="38"/>
      <c r="I43" s="40"/>
      <c r="J43" s="38"/>
      <c r="K43" s="38"/>
      <c r="L43" s="38"/>
      <c r="M43" s="38"/>
      <c r="N43" s="38"/>
      <c r="O43" s="48" t="s">
        <v>1092</v>
      </c>
      <c r="P43" s="42"/>
      <c r="Q43" s="42"/>
      <c r="R43" s="43"/>
    </row>
    <row r="44" spans="1:18" ht="18.75">
      <c r="G44" s="38"/>
      <c r="H44" s="38"/>
      <c r="I44" s="40"/>
      <c r="J44" s="38"/>
      <c r="K44" s="38"/>
      <c r="L44" s="38"/>
      <c r="M44" s="38"/>
      <c r="N44" s="38"/>
      <c r="O44" s="48" t="s">
        <v>1093</v>
      </c>
      <c r="P44" s="42"/>
      <c r="Q44" s="42"/>
      <c r="R44" s="43"/>
    </row>
    <row r="45" spans="1:18" ht="18.75">
      <c r="G45" s="38"/>
      <c r="H45" s="38"/>
      <c r="I45" s="40"/>
      <c r="J45" s="38"/>
      <c r="K45" s="38"/>
      <c r="L45" s="38"/>
      <c r="M45" s="38"/>
      <c r="N45" s="38"/>
      <c r="O45" s="48" t="s">
        <v>1094</v>
      </c>
      <c r="P45" s="42"/>
      <c r="Q45" s="42"/>
      <c r="R45" s="43"/>
    </row>
    <row r="46" spans="1:18" ht="18.75">
      <c r="G46" s="38"/>
      <c r="H46" s="38"/>
      <c r="I46" s="40"/>
      <c r="J46" s="38"/>
      <c r="K46" s="38"/>
      <c r="L46" s="38"/>
      <c r="M46" s="38"/>
      <c r="N46" s="40"/>
      <c r="O46" s="45" t="s">
        <v>1095</v>
      </c>
      <c r="P46" s="46"/>
      <c r="Q46" s="46"/>
      <c r="R46" s="47"/>
    </row>
    <row r="47" spans="1:18">
      <c r="A47" s="61" t="s">
        <v>1096</v>
      </c>
      <c r="B47" s="62"/>
      <c r="C47" s="67" t="s">
        <v>1097</v>
      </c>
      <c r="D47" s="68"/>
      <c r="E47" s="68"/>
      <c r="F47" s="68"/>
      <c r="G47" s="68"/>
      <c r="H47" s="68"/>
      <c r="I47" s="68"/>
      <c r="J47" s="68"/>
      <c r="K47" s="68"/>
      <c r="L47" s="69"/>
      <c r="M47" s="38"/>
      <c r="N47" s="38"/>
    </row>
    <row r="48" spans="1:18">
      <c r="A48" s="63"/>
      <c r="B48" s="64"/>
      <c r="C48" s="70"/>
      <c r="D48" s="71"/>
      <c r="E48" s="71"/>
      <c r="F48" s="71"/>
      <c r="G48" s="71"/>
      <c r="H48" s="71"/>
      <c r="I48" s="71"/>
      <c r="J48" s="71"/>
      <c r="K48" s="71"/>
      <c r="L48" s="72"/>
      <c r="M48" s="38"/>
      <c r="N48" s="38"/>
      <c r="O48" s="41" t="s">
        <v>1098</v>
      </c>
      <c r="P48" s="42"/>
      <c r="Q48" s="42"/>
      <c r="R48" s="43"/>
    </row>
    <row r="49" spans="1:18">
      <c r="A49" s="63"/>
      <c r="B49" s="64"/>
      <c r="C49" s="73" t="s">
        <v>1099</v>
      </c>
      <c r="D49" s="74"/>
      <c r="E49" s="73" t="s">
        <v>1100</v>
      </c>
      <c r="F49" s="74"/>
      <c r="G49" s="73" t="s">
        <v>1101</v>
      </c>
      <c r="H49" s="74"/>
      <c r="I49" s="77" t="s">
        <v>1102</v>
      </c>
      <c r="J49" s="78"/>
      <c r="K49" s="73" t="s">
        <v>1103</v>
      </c>
      <c r="L49" s="74"/>
      <c r="M49" s="38"/>
      <c r="N49" s="38"/>
      <c r="O49" s="48" t="s">
        <v>1104</v>
      </c>
      <c r="P49" s="42"/>
      <c r="Q49" s="42"/>
      <c r="R49" s="43"/>
    </row>
    <row r="50" spans="1:18">
      <c r="A50" s="65"/>
      <c r="B50" s="66"/>
      <c r="C50" s="75"/>
      <c r="D50" s="76"/>
      <c r="E50" s="75"/>
      <c r="F50" s="76"/>
      <c r="G50" s="75"/>
      <c r="H50" s="76"/>
      <c r="I50" s="79"/>
      <c r="J50" s="80"/>
      <c r="K50" s="75"/>
      <c r="L50" s="76"/>
      <c r="M50" s="38"/>
      <c r="N50" s="38"/>
      <c r="O50" s="48" t="s">
        <v>1105</v>
      </c>
      <c r="P50" s="42"/>
      <c r="Q50" s="42"/>
      <c r="R50" s="43"/>
    </row>
    <row r="51" spans="1:18">
      <c r="A51" s="81" t="s">
        <v>1106</v>
      </c>
      <c r="B51" s="84" t="s">
        <v>1107</v>
      </c>
      <c r="C51" s="87" t="s">
        <v>12</v>
      </c>
      <c r="D51" s="88"/>
      <c r="E51" s="93" t="s">
        <v>11</v>
      </c>
      <c r="F51" s="94"/>
      <c r="G51" s="99" t="s">
        <v>14</v>
      </c>
      <c r="H51" s="100"/>
      <c r="I51" s="99" t="s">
        <v>14</v>
      </c>
      <c r="J51" s="100"/>
      <c r="K51" s="99" t="s">
        <v>14</v>
      </c>
      <c r="L51" s="100"/>
      <c r="M51" s="38"/>
      <c r="N51" s="38"/>
      <c r="O51" s="48" t="s">
        <v>1108</v>
      </c>
      <c r="P51" s="42"/>
      <c r="Q51" s="42"/>
      <c r="R51" s="43"/>
    </row>
    <row r="52" spans="1:18">
      <c r="A52" s="82"/>
      <c r="B52" s="85"/>
      <c r="C52" s="89"/>
      <c r="D52" s="90"/>
      <c r="E52" s="95"/>
      <c r="F52" s="96"/>
      <c r="G52" s="101"/>
      <c r="H52" s="102"/>
      <c r="I52" s="101"/>
      <c r="J52" s="102"/>
      <c r="K52" s="101"/>
      <c r="L52" s="102"/>
      <c r="M52" s="38"/>
      <c r="N52" s="38"/>
      <c r="O52" s="48" t="s">
        <v>1109</v>
      </c>
      <c r="P52" s="42"/>
      <c r="Q52" s="42"/>
      <c r="R52" s="43"/>
    </row>
    <row r="53" spans="1:18">
      <c r="A53" s="82"/>
      <c r="B53" s="85"/>
      <c r="C53" s="89"/>
      <c r="D53" s="90"/>
      <c r="E53" s="95"/>
      <c r="F53" s="96"/>
      <c r="G53" s="101"/>
      <c r="H53" s="102"/>
      <c r="I53" s="101"/>
      <c r="J53" s="102"/>
      <c r="K53" s="101"/>
      <c r="L53" s="102"/>
      <c r="M53" s="38"/>
      <c r="N53" s="38"/>
      <c r="O53" s="45" t="s">
        <v>1110</v>
      </c>
      <c r="P53" s="46"/>
      <c r="Q53" s="46"/>
      <c r="R53" s="47"/>
    </row>
    <row r="54" spans="1:18">
      <c r="A54" s="82"/>
      <c r="B54" s="85"/>
      <c r="C54" s="89"/>
      <c r="D54" s="90"/>
      <c r="E54" s="95"/>
      <c r="F54" s="96"/>
      <c r="G54" s="101"/>
      <c r="H54" s="102"/>
      <c r="I54" s="101"/>
      <c r="J54" s="102"/>
      <c r="K54" s="101"/>
      <c r="L54" s="102"/>
      <c r="M54" s="38"/>
      <c r="N54" s="38"/>
    </row>
    <row r="55" spans="1:18">
      <c r="A55" s="82"/>
      <c r="B55" s="86"/>
      <c r="C55" s="91"/>
      <c r="D55" s="92"/>
      <c r="E55" s="97"/>
      <c r="F55" s="98"/>
      <c r="G55" s="103"/>
      <c r="H55" s="104"/>
      <c r="I55" s="103"/>
      <c r="J55" s="104"/>
      <c r="K55" s="103"/>
      <c r="L55" s="104"/>
      <c r="M55" s="38"/>
      <c r="N55" s="38"/>
      <c r="O55" s="41" t="s">
        <v>1111</v>
      </c>
      <c r="P55" s="42"/>
      <c r="Q55" s="42"/>
      <c r="R55" s="43"/>
    </row>
    <row r="56" spans="1:18">
      <c r="A56" s="82"/>
      <c r="B56" s="84" t="s">
        <v>1112</v>
      </c>
      <c r="C56" s="87" t="s">
        <v>12</v>
      </c>
      <c r="D56" s="88"/>
      <c r="E56" s="93" t="s">
        <v>11</v>
      </c>
      <c r="F56" s="94"/>
      <c r="G56" s="93" t="s">
        <v>11</v>
      </c>
      <c r="H56" s="94"/>
      <c r="I56" s="99" t="s">
        <v>14</v>
      </c>
      <c r="J56" s="100"/>
      <c r="K56" s="99" t="s">
        <v>14</v>
      </c>
      <c r="L56" s="100"/>
      <c r="M56" s="38"/>
      <c r="N56" s="38"/>
      <c r="O56" s="48" t="s">
        <v>1113</v>
      </c>
      <c r="P56" s="42"/>
      <c r="Q56" s="42"/>
      <c r="R56" s="43"/>
    </row>
    <row r="57" spans="1:18">
      <c r="A57" s="82"/>
      <c r="B57" s="85"/>
      <c r="C57" s="89"/>
      <c r="D57" s="90"/>
      <c r="E57" s="95"/>
      <c r="F57" s="96"/>
      <c r="G57" s="95"/>
      <c r="H57" s="96"/>
      <c r="I57" s="101"/>
      <c r="J57" s="102"/>
      <c r="K57" s="101"/>
      <c r="L57" s="102"/>
      <c r="M57" s="38"/>
      <c r="N57" s="38"/>
      <c r="O57" s="48" t="s">
        <v>1114</v>
      </c>
      <c r="P57" s="42"/>
      <c r="Q57" s="42"/>
      <c r="R57" s="43"/>
    </row>
    <row r="58" spans="1:18">
      <c r="A58" s="82"/>
      <c r="B58" s="85"/>
      <c r="C58" s="89"/>
      <c r="D58" s="90"/>
      <c r="E58" s="95"/>
      <c r="F58" s="96"/>
      <c r="G58" s="95"/>
      <c r="H58" s="96"/>
      <c r="I58" s="101"/>
      <c r="J58" s="102"/>
      <c r="K58" s="101"/>
      <c r="L58" s="102"/>
      <c r="M58" s="38"/>
      <c r="N58" s="38"/>
      <c r="O58" s="48" t="s">
        <v>1115</v>
      </c>
      <c r="P58" s="42"/>
      <c r="Q58" s="42"/>
      <c r="R58" s="43"/>
    </row>
    <row r="59" spans="1:18">
      <c r="A59" s="82"/>
      <c r="B59" s="85"/>
      <c r="C59" s="89"/>
      <c r="D59" s="90"/>
      <c r="E59" s="95"/>
      <c r="F59" s="96"/>
      <c r="G59" s="95"/>
      <c r="H59" s="96"/>
      <c r="I59" s="101"/>
      <c r="J59" s="102"/>
      <c r="K59" s="101"/>
      <c r="L59" s="102"/>
      <c r="M59" s="38"/>
      <c r="N59" s="38"/>
      <c r="O59" s="45" t="s">
        <v>1116</v>
      </c>
      <c r="P59" s="46"/>
      <c r="Q59" s="46"/>
      <c r="R59" s="47"/>
    </row>
    <row r="60" spans="1:18">
      <c r="A60" s="82"/>
      <c r="B60" s="86"/>
      <c r="C60" s="91"/>
      <c r="D60" s="92"/>
      <c r="E60" s="97"/>
      <c r="F60" s="98"/>
      <c r="G60" s="97"/>
      <c r="H60" s="98"/>
      <c r="I60" s="103"/>
      <c r="J60" s="104"/>
      <c r="K60" s="103"/>
      <c r="L60" s="104"/>
      <c r="M60" s="38"/>
      <c r="N60" s="38"/>
      <c r="O60" s="38"/>
      <c r="P60" s="38"/>
      <c r="Q60" s="38"/>
      <c r="R60" s="38"/>
    </row>
    <row r="61" spans="1:18">
      <c r="A61" s="82"/>
      <c r="B61" s="84" t="s">
        <v>1117</v>
      </c>
      <c r="C61" s="105" t="s">
        <v>13</v>
      </c>
      <c r="D61" s="106"/>
      <c r="E61" s="87" t="s">
        <v>12</v>
      </c>
      <c r="F61" s="88"/>
      <c r="G61" s="93" t="s">
        <v>11</v>
      </c>
      <c r="H61" s="94"/>
      <c r="I61" s="93" t="s">
        <v>11</v>
      </c>
      <c r="J61" s="94"/>
      <c r="K61" s="99" t="s">
        <v>14</v>
      </c>
      <c r="L61" s="100"/>
      <c r="M61" s="38"/>
      <c r="N61" s="38"/>
      <c r="O61" s="38"/>
      <c r="P61" s="38"/>
      <c r="Q61" s="38"/>
      <c r="R61" s="38"/>
    </row>
    <row r="62" spans="1:18">
      <c r="A62" s="82"/>
      <c r="B62" s="85"/>
      <c r="C62" s="107"/>
      <c r="D62" s="108"/>
      <c r="E62" s="89"/>
      <c r="F62" s="90"/>
      <c r="G62" s="95"/>
      <c r="H62" s="96"/>
      <c r="I62" s="95"/>
      <c r="J62" s="96"/>
      <c r="K62" s="101"/>
      <c r="L62" s="102"/>
      <c r="M62" s="38"/>
      <c r="N62" s="38"/>
      <c r="O62" s="38"/>
      <c r="P62" s="38"/>
      <c r="Q62" s="38"/>
      <c r="R62" s="38"/>
    </row>
    <row r="63" spans="1:18">
      <c r="A63" s="82"/>
      <c r="B63" s="85"/>
      <c r="C63" s="107"/>
      <c r="D63" s="108"/>
      <c r="E63" s="89"/>
      <c r="F63" s="90"/>
      <c r="G63" s="95"/>
      <c r="H63" s="96"/>
      <c r="I63" s="95"/>
      <c r="J63" s="96"/>
      <c r="K63" s="101"/>
      <c r="L63" s="102"/>
      <c r="M63" s="38"/>
      <c r="N63" s="38"/>
      <c r="O63" s="38"/>
      <c r="P63" s="38"/>
      <c r="Q63" s="38"/>
      <c r="R63" s="38"/>
    </row>
    <row r="64" spans="1:18">
      <c r="A64" s="82"/>
      <c r="B64" s="85"/>
      <c r="C64" s="107"/>
      <c r="D64" s="108"/>
      <c r="E64" s="89"/>
      <c r="F64" s="90"/>
      <c r="G64" s="95"/>
      <c r="H64" s="96"/>
      <c r="I64" s="95"/>
      <c r="J64" s="96"/>
      <c r="K64" s="101"/>
      <c r="L64" s="102"/>
      <c r="M64" s="38"/>
      <c r="N64" s="38"/>
      <c r="O64" s="38"/>
      <c r="P64" s="38"/>
      <c r="Q64" s="38"/>
      <c r="R64" s="38"/>
    </row>
    <row r="65" spans="1:18">
      <c r="A65" s="82"/>
      <c r="B65" s="86"/>
      <c r="C65" s="109"/>
      <c r="D65" s="110"/>
      <c r="E65" s="91"/>
      <c r="F65" s="92"/>
      <c r="G65" s="97"/>
      <c r="H65" s="98"/>
      <c r="I65" s="97"/>
      <c r="J65" s="98"/>
      <c r="K65" s="103"/>
      <c r="L65" s="104"/>
      <c r="M65" s="38"/>
      <c r="N65" s="38"/>
      <c r="O65" s="38"/>
      <c r="P65" s="38"/>
      <c r="Q65" s="38"/>
      <c r="R65" s="38"/>
    </row>
    <row r="66" spans="1:18">
      <c r="A66" s="82"/>
      <c r="B66" s="84" t="s">
        <v>1118</v>
      </c>
      <c r="C66" s="105" t="s">
        <v>13</v>
      </c>
      <c r="D66" s="106"/>
      <c r="E66" s="105" t="s">
        <v>13</v>
      </c>
      <c r="F66" s="106"/>
      <c r="G66" s="87" t="s">
        <v>12</v>
      </c>
      <c r="H66" s="88"/>
      <c r="I66" s="87" t="s">
        <v>12</v>
      </c>
      <c r="J66" s="88"/>
      <c r="K66" s="93" t="s">
        <v>11</v>
      </c>
      <c r="L66" s="94"/>
      <c r="M66" s="38"/>
      <c r="N66" s="38"/>
      <c r="O66" s="38"/>
      <c r="P66" s="38"/>
      <c r="Q66" s="38"/>
      <c r="R66" s="38"/>
    </row>
    <row r="67" spans="1:18">
      <c r="A67" s="82"/>
      <c r="B67" s="85"/>
      <c r="C67" s="107"/>
      <c r="D67" s="108"/>
      <c r="E67" s="107"/>
      <c r="F67" s="108"/>
      <c r="G67" s="89"/>
      <c r="H67" s="90"/>
      <c r="I67" s="89"/>
      <c r="J67" s="90"/>
      <c r="K67" s="95"/>
      <c r="L67" s="96"/>
      <c r="M67" s="38"/>
      <c r="N67" s="38"/>
      <c r="O67" s="38"/>
      <c r="P67" s="38"/>
      <c r="Q67" s="38"/>
      <c r="R67" s="38"/>
    </row>
    <row r="68" spans="1:18">
      <c r="A68" s="82"/>
      <c r="B68" s="85"/>
      <c r="C68" s="107"/>
      <c r="D68" s="108"/>
      <c r="E68" s="107"/>
      <c r="F68" s="108"/>
      <c r="G68" s="89"/>
      <c r="H68" s="90"/>
      <c r="I68" s="89"/>
      <c r="J68" s="90"/>
      <c r="K68" s="95"/>
      <c r="L68" s="96"/>
      <c r="M68" s="38"/>
      <c r="N68" s="38"/>
      <c r="O68" s="38"/>
      <c r="P68" s="38"/>
      <c r="Q68" s="38"/>
      <c r="R68" s="38"/>
    </row>
    <row r="69" spans="1:18">
      <c r="A69" s="82"/>
      <c r="B69" s="85"/>
      <c r="C69" s="107"/>
      <c r="D69" s="108"/>
      <c r="E69" s="107"/>
      <c r="F69" s="108"/>
      <c r="G69" s="89"/>
      <c r="H69" s="90"/>
      <c r="I69" s="89"/>
      <c r="J69" s="90"/>
      <c r="K69" s="95"/>
      <c r="L69" s="96"/>
      <c r="M69" s="38"/>
      <c r="N69" s="38"/>
      <c r="O69" s="38"/>
      <c r="P69" s="38"/>
      <c r="Q69" s="38"/>
      <c r="R69" s="38"/>
    </row>
    <row r="70" spans="1:18">
      <c r="A70" s="82"/>
      <c r="B70" s="86"/>
      <c r="C70" s="109"/>
      <c r="D70" s="110"/>
      <c r="E70" s="109"/>
      <c r="F70" s="110"/>
      <c r="G70" s="91"/>
      <c r="H70" s="92"/>
      <c r="I70" s="91"/>
      <c r="J70" s="92"/>
      <c r="K70" s="97"/>
      <c r="L70" s="98"/>
      <c r="M70" s="38"/>
      <c r="N70" s="38"/>
      <c r="O70" s="38"/>
      <c r="P70" s="38"/>
      <c r="Q70" s="38"/>
      <c r="R70" s="38"/>
    </row>
    <row r="71" spans="1:18">
      <c r="A71" s="82"/>
      <c r="B71" s="84" t="s">
        <v>1119</v>
      </c>
      <c r="C71" s="105" t="s">
        <v>13</v>
      </c>
      <c r="D71" s="106"/>
      <c r="E71" s="105" t="s">
        <v>13</v>
      </c>
      <c r="F71" s="106"/>
      <c r="G71" s="105" t="s">
        <v>13</v>
      </c>
      <c r="H71" s="106"/>
      <c r="I71" s="105" t="s">
        <v>13</v>
      </c>
      <c r="J71" s="106"/>
      <c r="K71" s="87" t="s">
        <v>12</v>
      </c>
      <c r="L71" s="88"/>
      <c r="M71" s="38"/>
      <c r="N71" s="38"/>
      <c r="O71" s="38"/>
      <c r="P71" s="38"/>
      <c r="Q71" s="38"/>
      <c r="R71" s="38"/>
    </row>
    <row r="72" spans="1:18">
      <c r="A72" s="82"/>
      <c r="B72" s="85"/>
      <c r="C72" s="107"/>
      <c r="D72" s="108"/>
      <c r="E72" s="107"/>
      <c r="F72" s="108"/>
      <c r="G72" s="107"/>
      <c r="H72" s="108"/>
      <c r="I72" s="107"/>
      <c r="J72" s="108"/>
      <c r="K72" s="89"/>
      <c r="L72" s="90"/>
      <c r="M72" s="38"/>
      <c r="N72" s="38"/>
      <c r="O72" s="38"/>
      <c r="P72" s="38"/>
      <c r="Q72" s="38"/>
      <c r="R72" s="38"/>
    </row>
    <row r="73" spans="1:18">
      <c r="A73" s="82"/>
      <c r="B73" s="85"/>
      <c r="C73" s="107"/>
      <c r="D73" s="108"/>
      <c r="E73" s="107"/>
      <c r="F73" s="108"/>
      <c r="G73" s="107"/>
      <c r="H73" s="108"/>
      <c r="I73" s="107"/>
      <c r="J73" s="108"/>
      <c r="K73" s="89"/>
      <c r="L73" s="90"/>
      <c r="M73" s="38"/>
      <c r="N73" s="38"/>
      <c r="O73" s="38"/>
      <c r="P73" s="38"/>
      <c r="Q73" s="38"/>
      <c r="R73" s="38"/>
    </row>
    <row r="74" spans="1:18">
      <c r="A74" s="82"/>
      <c r="B74" s="85"/>
      <c r="C74" s="107"/>
      <c r="D74" s="108"/>
      <c r="E74" s="107"/>
      <c r="F74" s="108"/>
      <c r="G74" s="107"/>
      <c r="H74" s="108"/>
      <c r="I74" s="107"/>
      <c r="J74" s="108"/>
      <c r="K74" s="89"/>
      <c r="L74" s="90"/>
      <c r="M74" s="38"/>
      <c r="N74" s="38"/>
      <c r="O74" s="38"/>
      <c r="P74" s="38"/>
      <c r="Q74" s="38"/>
      <c r="R74" s="38"/>
    </row>
    <row r="75" spans="1:18">
      <c r="A75" s="83"/>
      <c r="B75" s="86"/>
      <c r="C75" s="109"/>
      <c r="D75" s="110"/>
      <c r="E75" s="109"/>
      <c r="F75" s="110"/>
      <c r="G75" s="109"/>
      <c r="H75" s="110"/>
      <c r="I75" s="109"/>
      <c r="J75" s="110"/>
      <c r="K75" s="91"/>
      <c r="L75" s="92"/>
      <c r="M75" s="38"/>
      <c r="N75" s="38"/>
      <c r="O75" s="38"/>
      <c r="P75" s="38"/>
      <c r="Q75" s="38"/>
      <c r="R75" s="38"/>
    </row>
    <row r="76" spans="1:18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</row>
  </sheetData>
  <mergeCells count="42"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  <mergeCell ref="I51:J55"/>
    <mergeCell ref="K51:L55"/>
    <mergeCell ref="B56:B60"/>
    <mergeCell ref="C56:D60"/>
    <mergeCell ref="E56:F60"/>
    <mergeCell ref="G56:H60"/>
    <mergeCell ref="I56:J60"/>
    <mergeCell ref="K56:L6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tabSelected="1" zoomScale="70" zoomScaleNormal="70" workbookViewId="0"/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4" t="s">
        <v>1122</v>
      </c>
      <c r="B1" s="55"/>
      <c r="C1" s="55"/>
      <c r="D1" s="58" t="s">
        <v>1123</v>
      </c>
      <c r="E1" s="58"/>
      <c r="F1" s="58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3" t="s">
        <v>678</v>
      </c>
      <c r="B3" s="53" t="s">
        <v>18</v>
      </c>
      <c r="C3" s="53" t="s">
        <v>15</v>
      </c>
      <c r="D3" s="53" t="s">
        <v>54</v>
      </c>
      <c r="E3" s="53" t="s">
        <v>679</v>
      </c>
      <c r="F3" s="53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6" t="s">
        <v>680</v>
      </c>
      <c r="B4">
        <v>14</v>
      </c>
      <c r="C4" t="s">
        <v>20</v>
      </c>
      <c r="D4" t="s">
        <v>681</v>
      </c>
      <c r="E4" t="s">
        <v>682</v>
      </c>
      <c r="F4" t="s">
        <v>267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6" t="s">
        <v>683</v>
      </c>
      <c r="B5">
        <v>5</v>
      </c>
      <c r="C5" t="s">
        <v>4</v>
      </c>
      <c r="D5" t="s">
        <v>681</v>
      </c>
      <c r="E5" t="s">
        <v>684</v>
      </c>
      <c r="F5" t="s">
        <v>267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6" t="s">
        <v>685</v>
      </c>
      <c r="B6">
        <v>0.1</v>
      </c>
      <c r="C6" t="s">
        <v>49</v>
      </c>
      <c r="D6" t="s">
        <v>681</v>
      </c>
      <c r="E6" t="s">
        <v>686</v>
      </c>
      <c r="F6" t="s">
        <v>267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6" t="s">
        <v>687</v>
      </c>
      <c r="B7">
        <v>0.13</v>
      </c>
      <c r="C7" t="s">
        <v>49</v>
      </c>
      <c r="D7" t="s">
        <v>681</v>
      </c>
      <c r="E7" t="s">
        <v>688</v>
      </c>
      <c r="F7" t="s">
        <v>267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6" t="s">
        <v>689</v>
      </c>
      <c r="B8">
        <v>0.75</v>
      </c>
      <c r="C8" t="s">
        <v>20</v>
      </c>
      <c r="D8" t="s">
        <v>681</v>
      </c>
      <c r="E8" t="s">
        <v>690</v>
      </c>
      <c r="F8" t="s">
        <v>267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6" t="s">
        <v>691</v>
      </c>
      <c r="B9">
        <v>0.25</v>
      </c>
      <c r="C9" t="s">
        <v>692</v>
      </c>
      <c r="D9" t="s">
        <v>681</v>
      </c>
      <c r="E9" t="s">
        <v>693</v>
      </c>
      <c r="F9" t="s">
        <v>267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6" t="s">
        <v>694</v>
      </c>
      <c r="B10">
        <v>18</v>
      </c>
      <c r="C10" t="s">
        <v>695</v>
      </c>
      <c r="D10" t="s">
        <v>681</v>
      </c>
      <c r="E10" t="s">
        <v>696</v>
      </c>
      <c r="F10" t="s">
        <v>267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6" t="s">
        <v>697</v>
      </c>
      <c r="B11">
        <v>14</v>
      </c>
      <c r="C11" t="s">
        <v>16</v>
      </c>
      <c r="D11" t="s">
        <v>681</v>
      </c>
      <c r="E11" t="s">
        <v>698</v>
      </c>
      <c r="F11" t="s">
        <v>267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6" t="s">
        <v>699</v>
      </c>
      <c r="B12">
        <v>2</v>
      </c>
      <c r="C12" t="s">
        <v>16</v>
      </c>
      <c r="D12" t="s">
        <v>681</v>
      </c>
      <c r="E12" t="s">
        <v>700</v>
      </c>
      <c r="F12" t="s">
        <v>267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6" t="s">
        <v>701</v>
      </c>
      <c r="B13">
        <v>1</v>
      </c>
      <c r="C13" t="s">
        <v>16</v>
      </c>
      <c r="D13" t="s">
        <v>681</v>
      </c>
      <c r="E13" t="s">
        <v>702</v>
      </c>
      <c r="F13" t="s">
        <v>267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6" t="s">
        <v>703</v>
      </c>
      <c r="B14">
        <f>B11-B12-B13</f>
        <v>11</v>
      </c>
      <c r="C14" t="s">
        <v>16</v>
      </c>
      <c r="D14" t="s">
        <v>264</v>
      </c>
      <c r="E14" t="s">
        <v>704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6" t="s">
        <v>705</v>
      </c>
      <c r="B15">
        <v>0.25</v>
      </c>
      <c r="C15" t="s">
        <v>692</v>
      </c>
      <c r="D15" t="s">
        <v>681</v>
      </c>
      <c r="E15" t="s">
        <v>706</v>
      </c>
      <c r="F15" t="s">
        <v>267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6" t="s">
        <v>707</v>
      </c>
      <c r="B16">
        <v>0.97499999999999998</v>
      </c>
      <c r="C16" t="s">
        <v>49</v>
      </c>
      <c r="D16" t="s">
        <v>681</v>
      </c>
      <c r="E16" t="s">
        <v>708</v>
      </c>
      <c r="F16" t="s">
        <v>267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6" t="s">
        <v>709</v>
      </c>
      <c r="B17">
        <v>0.17499999999999999</v>
      </c>
      <c r="C17" t="s">
        <v>17</v>
      </c>
      <c r="D17" t="s">
        <v>681</v>
      </c>
      <c r="E17" t="s">
        <v>710</v>
      </c>
      <c r="F17" t="s">
        <v>267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6" t="s">
        <v>711</v>
      </c>
      <c r="B18">
        <v>0.64900000000000002</v>
      </c>
      <c r="C18" t="s">
        <v>712</v>
      </c>
      <c r="D18" t="s">
        <v>681</v>
      </c>
      <c r="E18" t="s">
        <v>713</v>
      </c>
      <c r="F18" t="s">
        <v>267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6" t="s">
        <v>714</v>
      </c>
      <c r="B19">
        <v>2.8150000000000001E-2</v>
      </c>
      <c r="C19" t="s">
        <v>715</v>
      </c>
      <c r="D19" t="s">
        <v>681</v>
      </c>
      <c r="E19" t="s">
        <v>716</v>
      </c>
      <c r="F19" t="s">
        <v>267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6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6" t="s">
        <v>717</v>
      </c>
      <c r="B21" t="s">
        <v>18</v>
      </c>
      <c r="C21" t="s">
        <v>15</v>
      </c>
      <c r="D21" t="s">
        <v>718</v>
      </c>
      <c r="E21" t="s">
        <v>719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6" t="s">
        <v>720</v>
      </c>
      <c r="B22">
        <f>B14*B15</f>
        <v>2.75</v>
      </c>
      <c r="C22" t="s">
        <v>692</v>
      </c>
      <c r="D22" t="s">
        <v>721</v>
      </c>
      <c r="E22" t="s">
        <v>5</v>
      </c>
      <c r="F22" t="s">
        <v>267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6" t="s">
        <v>722</v>
      </c>
      <c r="B23">
        <f>B22*8760*B16/1000</f>
        <v>23.487749999999998</v>
      </c>
      <c r="C23" t="s">
        <v>723</v>
      </c>
      <c r="D23" t="s">
        <v>724</v>
      </c>
      <c r="E23" t="s">
        <v>5</v>
      </c>
      <c r="F23" t="s">
        <v>267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6" t="s">
        <v>725</v>
      </c>
      <c r="B24">
        <f>B23*B17</f>
        <v>4.1103562499999997</v>
      </c>
      <c r="C24" t="s">
        <v>712</v>
      </c>
      <c r="D24" t="s">
        <v>726</v>
      </c>
      <c r="E24" t="s">
        <v>5</v>
      </c>
      <c r="F24" t="s">
        <v>267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6" t="s">
        <v>727</v>
      </c>
      <c r="B25">
        <f>B23*B19</f>
        <v>0.6611801625</v>
      </c>
      <c r="C25" t="s">
        <v>712</v>
      </c>
      <c r="D25" t="s">
        <v>728</v>
      </c>
      <c r="E25" t="s">
        <v>5</v>
      </c>
      <c r="F25" t="s">
        <v>267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6" t="s">
        <v>729</v>
      </c>
      <c r="B26">
        <f>B18+B25</f>
        <v>1.3101801625</v>
      </c>
      <c r="C26" t="s">
        <v>712</v>
      </c>
      <c r="D26" t="s">
        <v>730</v>
      </c>
      <c r="E26" t="s">
        <v>5</v>
      </c>
      <c r="F26" t="s">
        <v>267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6" t="s">
        <v>731</v>
      </c>
      <c r="B27">
        <f>B24-B26</f>
        <v>2.8001760874999997</v>
      </c>
      <c r="C27" t="s">
        <v>712</v>
      </c>
      <c r="D27" t="s">
        <v>732</v>
      </c>
      <c r="E27" t="s">
        <v>5</v>
      </c>
      <c r="F27" t="s">
        <v>267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6" t="s">
        <v>22</v>
      </c>
      <c r="B28">
        <f>B4/B27</f>
        <v>4.9996855778092213</v>
      </c>
      <c r="C28" t="s">
        <v>4</v>
      </c>
      <c r="D28" t="s">
        <v>733</v>
      </c>
      <c r="E28" t="s">
        <v>734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7" t="s">
        <v>246</v>
      </c>
      <c r="B29">
        <v>0.3</v>
      </c>
      <c r="C29" t="s">
        <v>712</v>
      </c>
      <c r="D29" t="s">
        <v>735</v>
      </c>
      <c r="E29" t="s">
        <v>5</v>
      </c>
      <c r="F29" t="s">
        <v>267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6" t="s">
        <v>736</v>
      </c>
      <c r="B30">
        <f>B27-B29</f>
        <v>2.5001760874999999</v>
      </c>
      <c r="C30" t="s">
        <v>712</v>
      </c>
      <c r="D30" t="s">
        <v>737</v>
      </c>
      <c r="E30" t="s">
        <v>5</v>
      </c>
      <c r="F30" t="s">
        <v>267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6" t="s">
        <v>738</v>
      </c>
      <c r="B31" s="16">
        <f>IRR(B36:L36)</f>
        <v>0.11752053733020262</v>
      </c>
      <c r="C31" t="s">
        <v>49</v>
      </c>
      <c r="D31" t="s">
        <v>739</v>
      </c>
      <c r="E31" t="s">
        <v>740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6" t="s">
        <v>741</v>
      </c>
      <c r="B32" t="str">
        <f>IF(AND(B31&gt;=B6,B31&lt;=B7),"PASS","REVIEW")</f>
        <v>PASS</v>
      </c>
      <c r="C32" t="s">
        <v>742</v>
      </c>
      <c r="D32" t="s">
        <v>743</v>
      </c>
      <c r="E32" t="s">
        <v>740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6" t="s">
        <v>744</v>
      </c>
      <c r="B33" t="str">
        <f>IF(B28&lt;=B5,"PASS","REVIEW")</f>
        <v>PASS</v>
      </c>
      <c r="C33" t="s">
        <v>742</v>
      </c>
      <c r="D33" t="s">
        <v>745</v>
      </c>
      <c r="E33" t="s">
        <v>746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6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6" t="s">
        <v>747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6" t="s">
        <v>748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6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6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6" t="s">
        <v>749</v>
      </c>
      <c r="B39" t="s">
        <v>750</v>
      </c>
      <c r="C39" t="s">
        <v>751</v>
      </c>
      <c r="D39" t="s">
        <v>752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6" t="s">
        <v>753</v>
      </c>
      <c r="B40">
        <v>0.155</v>
      </c>
      <c r="C40">
        <v>0.17499999999999999</v>
      </c>
      <c r="D40">
        <v>0.19500000000000001</v>
      </c>
      <c r="E40" t="s">
        <v>754</v>
      </c>
      <c r="F40" t="s">
        <v>507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6" t="s">
        <v>755</v>
      </c>
      <c r="B41">
        <v>0.96</v>
      </c>
      <c r="C41">
        <v>0.97499999999999998</v>
      </c>
      <c r="D41">
        <v>0.99</v>
      </c>
      <c r="E41" t="s">
        <v>756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6" t="s">
        <v>757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758</v>
      </c>
      <c r="F42" t="s">
        <v>267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6" t="s">
        <v>759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760</v>
      </c>
      <c r="F43" t="s">
        <v>267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6" t="s">
        <v>761</v>
      </c>
      <c r="B44" t="s">
        <v>762</v>
      </c>
      <c r="C44" t="s">
        <v>763</v>
      </c>
      <c r="D44" t="s">
        <v>764</v>
      </c>
      <c r="E44" t="s">
        <v>765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A72" sqref="A72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>
      <c r="A1" s="17" t="s">
        <v>766</v>
      </c>
      <c r="B1" s="17"/>
    </row>
    <row r="3" spans="1:10">
      <c r="A3" s="21" t="s">
        <v>74</v>
      </c>
      <c r="B3" s="21" t="s">
        <v>18</v>
      </c>
      <c r="C3" s="21" t="s">
        <v>15</v>
      </c>
      <c r="D3" s="21" t="s">
        <v>767</v>
      </c>
      <c r="E3" s="21" t="s">
        <v>8</v>
      </c>
      <c r="F3" s="21" t="s">
        <v>768</v>
      </c>
      <c r="G3" s="21" t="s">
        <v>74</v>
      </c>
      <c r="H3" s="21" t="s">
        <v>18</v>
      </c>
      <c r="I3" s="21" t="s">
        <v>15</v>
      </c>
      <c r="J3" s="21" t="s">
        <v>8</v>
      </c>
    </row>
    <row r="4" spans="1:10">
      <c r="A4" t="s">
        <v>680</v>
      </c>
      <c r="B4">
        <f>'Cost Benefit Analysis'!B4</f>
        <v>14</v>
      </c>
      <c r="C4" t="s">
        <v>20</v>
      </c>
      <c r="D4" t="s">
        <v>769</v>
      </c>
      <c r="E4" t="s">
        <v>19</v>
      </c>
      <c r="F4" t="s">
        <v>770</v>
      </c>
      <c r="G4" t="s">
        <v>771</v>
      </c>
      <c r="H4">
        <f>'Cost Benefit Analysis'!B14</f>
        <v>11</v>
      </c>
      <c r="I4" t="s">
        <v>16</v>
      </c>
      <c r="J4" t="s">
        <v>19</v>
      </c>
    </row>
    <row r="5" spans="1:10">
      <c r="A5" t="s">
        <v>22</v>
      </c>
      <c r="B5">
        <f>'Cost Benefit Analysis'!B28</f>
        <v>4.9996855778092213</v>
      </c>
      <c r="C5" t="s">
        <v>4</v>
      </c>
      <c r="D5" t="s">
        <v>772</v>
      </c>
      <c r="E5" t="s">
        <v>19</v>
      </c>
      <c r="F5" t="s">
        <v>773</v>
      </c>
      <c r="G5" t="s">
        <v>738</v>
      </c>
      <c r="H5" s="16">
        <f>'Cost Benefit Analysis'!B31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'Cost Benefit Analysis'!B23</f>
        <v>23.487749999999998</v>
      </c>
      <c r="C6" t="s">
        <v>723</v>
      </c>
      <c r="D6" t="s">
        <v>5</v>
      </c>
      <c r="E6" t="s">
        <v>267</v>
      </c>
      <c r="F6" t="s">
        <v>774</v>
      </c>
      <c r="G6" t="s">
        <v>525</v>
      </c>
      <c r="H6">
        <f>'Cost Benefit Analysis'!B16</f>
        <v>0.97499999999999998</v>
      </c>
      <c r="I6" t="s">
        <v>49</v>
      </c>
      <c r="J6" t="s">
        <v>19</v>
      </c>
    </row>
    <row r="7" spans="1:10">
      <c r="A7" t="s">
        <v>725</v>
      </c>
      <c r="B7">
        <f>'Cost Benefit Analysis'!B24</f>
        <v>4.1103562499999997</v>
      </c>
      <c r="C7" t="s">
        <v>712</v>
      </c>
      <c r="D7" t="s">
        <v>5</v>
      </c>
      <c r="E7" t="s">
        <v>267</v>
      </c>
      <c r="F7" t="s">
        <v>775</v>
      </c>
      <c r="G7" t="s">
        <v>776</v>
      </c>
      <c r="H7">
        <f>'Cost Benefit Analysis'!B26</f>
        <v>1.3101801625</v>
      </c>
      <c r="I7" t="s">
        <v>712</v>
      </c>
      <c r="J7" t="s">
        <v>267</v>
      </c>
    </row>
    <row r="8" spans="1:10">
      <c r="A8" t="s">
        <v>697</v>
      </c>
      <c r="B8">
        <v>14</v>
      </c>
      <c r="C8" t="s">
        <v>16</v>
      </c>
      <c r="D8">
        <v>14</v>
      </c>
      <c r="E8" t="s">
        <v>267</v>
      </c>
      <c r="F8" t="s">
        <v>777</v>
      </c>
      <c r="G8" t="s">
        <v>778</v>
      </c>
      <c r="H8">
        <v>2</v>
      </c>
      <c r="I8" t="s">
        <v>16</v>
      </c>
      <c r="J8" t="s">
        <v>267</v>
      </c>
    </row>
    <row r="9" spans="1:10">
      <c r="A9" t="s">
        <v>779</v>
      </c>
      <c r="B9">
        <v>12</v>
      </c>
      <c r="C9" t="s">
        <v>16</v>
      </c>
      <c r="D9">
        <v>12</v>
      </c>
      <c r="E9" t="s">
        <v>267</v>
      </c>
      <c r="F9" t="s">
        <v>780</v>
      </c>
      <c r="G9" t="s">
        <v>595</v>
      </c>
      <c r="H9">
        <v>1</v>
      </c>
      <c r="I9" t="s">
        <v>16</v>
      </c>
      <c r="J9" t="s">
        <v>380</v>
      </c>
    </row>
    <row r="10" spans="1:10">
      <c r="A10" t="s">
        <v>781</v>
      </c>
      <c r="B10" t="s">
        <v>782</v>
      </c>
      <c r="C10" t="s">
        <v>783</v>
      </c>
      <c r="D10" t="s">
        <v>784</v>
      </c>
      <c r="E10" t="s">
        <v>25</v>
      </c>
      <c r="F10" t="s">
        <v>785</v>
      </c>
      <c r="G10" t="s">
        <v>786</v>
      </c>
      <c r="H10" t="s">
        <v>787</v>
      </c>
      <c r="I10" t="s">
        <v>742</v>
      </c>
      <c r="J10" t="s">
        <v>19</v>
      </c>
    </row>
    <row r="13" spans="1:10">
      <c r="A13" t="s">
        <v>366</v>
      </c>
      <c r="B13" t="s">
        <v>367</v>
      </c>
      <c r="C13" t="s">
        <v>788</v>
      </c>
      <c r="D13" t="s">
        <v>789</v>
      </c>
      <c r="E13" t="s">
        <v>8</v>
      </c>
      <c r="F13" t="s">
        <v>790</v>
      </c>
      <c r="H13" t="s">
        <v>813</v>
      </c>
      <c r="I13" t="s">
        <v>75</v>
      </c>
      <c r="J13" t="s">
        <v>2</v>
      </c>
    </row>
    <row r="14" spans="1:10">
      <c r="A14" t="s">
        <v>98</v>
      </c>
      <c r="B14" t="s">
        <v>368</v>
      </c>
      <c r="C14" t="s">
        <v>791</v>
      </c>
      <c r="D14" t="s">
        <v>792</v>
      </c>
      <c r="E14" t="s">
        <v>69</v>
      </c>
      <c r="F14" t="s">
        <v>793</v>
      </c>
      <c r="H14" t="s">
        <v>814</v>
      </c>
      <c r="I14">
        <v>14</v>
      </c>
      <c r="J14" t="s">
        <v>815</v>
      </c>
    </row>
    <row r="15" spans="1:10">
      <c r="A15" t="s">
        <v>794</v>
      </c>
      <c r="B15" t="s">
        <v>374</v>
      </c>
      <c r="C15" t="s">
        <v>795</v>
      </c>
      <c r="D15" t="s">
        <v>796</v>
      </c>
      <c r="E15" t="s">
        <v>69</v>
      </c>
      <c r="F15" t="s">
        <v>797</v>
      </c>
      <c r="H15" t="s">
        <v>816</v>
      </c>
      <c r="I15">
        <v>2</v>
      </c>
      <c r="J15" t="s">
        <v>817</v>
      </c>
    </row>
    <row r="16" spans="1:10">
      <c r="A16" t="s">
        <v>23</v>
      </c>
      <c r="B16" t="s">
        <v>385</v>
      </c>
      <c r="C16" t="s">
        <v>798</v>
      </c>
      <c r="D16" t="s">
        <v>799</v>
      </c>
      <c r="E16" t="s">
        <v>69</v>
      </c>
      <c r="F16" t="s">
        <v>800</v>
      </c>
      <c r="H16" t="s">
        <v>669</v>
      </c>
      <c r="I16">
        <v>12</v>
      </c>
      <c r="J16" t="s">
        <v>818</v>
      </c>
    </row>
    <row r="17" spans="1:10">
      <c r="A17" t="s">
        <v>121</v>
      </c>
      <c r="B17" t="s">
        <v>397</v>
      </c>
      <c r="C17" t="s">
        <v>801</v>
      </c>
      <c r="D17" t="s">
        <v>802</v>
      </c>
      <c r="E17" t="s">
        <v>69</v>
      </c>
      <c r="F17" t="s">
        <v>803</v>
      </c>
      <c r="H17" t="s">
        <v>819</v>
      </c>
      <c r="I17">
        <v>1</v>
      </c>
      <c r="J17" t="s">
        <v>537</v>
      </c>
    </row>
    <row r="18" spans="1:10">
      <c r="A18" t="s">
        <v>24</v>
      </c>
      <c r="B18" t="s">
        <v>405</v>
      </c>
      <c r="C18" t="s">
        <v>804</v>
      </c>
      <c r="D18" t="s">
        <v>805</v>
      </c>
      <c r="E18" t="s">
        <v>69</v>
      </c>
      <c r="F18" t="s">
        <v>806</v>
      </c>
      <c r="H18" t="s">
        <v>672</v>
      </c>
      <c r="I18">
        <v>11</v>
      </c>
      <c r="J18" t="s">
        <v>820</v>
      </c>
    </row>
    <row r="19" spans="1:10">
      <c r="A19" t="s">
        <v>77</v>
      </c>
      <c r="B19" t="s">
        <v>414</v>
      </c>
      <c r="C19" t="s">
        <v>807</v>
      </c>
      <c r="D19" t="s">
        <v>808</v>
      </c>
      <c r="E19" t="s">
        <v>25</v>
      </c>
      <c r="F19" t="s">
        <v>809</v>
      </c>
    </row>
    <row r="20" spans="1:10">
      <c r="A20" t="s">
        <v>810</v>
      </c>
      <c r="B20" t="s">
        <v>475</v>
      </c>
      <c r="C20" t="s">
        <v>811</v>
      </c>
      <c r="D20" t="s">
        <v>380</v>
      </c>
      <c r="E20" t="s">
        <v>380</v>
      </c>
      <c r="F20" t="s">
        <v>812</v>
      </c>
    </row>
    <row r="23" spans="1:10">
      <c r="A23" t="s">
        <v>821</v>
      </c>
      <c r="B23" t="s">
        <v>822</v>
      </c>
      <c r="C23" t="s">
        <v>32</v>
      </c>
      <c r="D23" t="s">
        <v>89</v>
      </c>
      <c r="E23" t="s">
        <v>823</v>
      </c>
      <c r="F23" t="s">
        <v>8</v>
      </c>
      <c r="G23" t="s">
        <v>824</v>
      </c>
      <c r="H23" t="s">
        <v>825</v>
      </c>
      <c r="I23" t="s">
        <v>826</v>
      </c>
      <c r="J23" t="s">
        <v>827</v>
      </c>
    </row>
    <row r="24" spans="1:10">
      <c r="A24" t="s">
        <v>828</v>
      </c>
      <c r="B24" t="s">
        <v>829</v>
      </c>
      <c r="C24" t="s">
        <v>70</v>
      </c>
      <c r="D24" t="s">
        <v>830</v>
      </c>
      <c r="E24" t="s">
        <v>831</v>
      </c>
      <c r="F24" t="s">
        <v>19</v>
      </c>
      <c r="G24" t="s">
        <v>832</v>
      </c>
      <c r="H24" t="s">
        <v>833</v>
      </c>
      <c r="I24" t="s">
        <v>834</v>
      </c>
      <c r="J24" t="s">
        <v>835</v>
      </c>
    </row>
    <row r="25" spans="1:10">
      <c r="A25" t="s">
        <v>836</v>
      </c>
      <c r="B25" t="s">
        <v>837</v>
      </c>
      <c r="C25" t="s">
        <v>110</v>
      </c>
      <c r="D25" t="s">
        <v>838</v>
      </c>
      <c r="E25" t="s">
        <v>839</v>
      </c>
      <c r="F25" t="s">
        <v>19</v>
      </c>
      <c r="G25" t="s">
        <v>840</v>
      </c>
      <c r="H25" t="s">
        <v>841</v>
      </c>
      <c r="I25" t="s">
        <v>842</v>
      </c>
      <c r="J25" t="s">
        <v>838</v>
      </c>
    </row>
    <row r="26" spans="1:10">
      <c r="A26" t="s">
        <v>843</v>
      </c>
      <c r="B26" t="s">
        <v>844</v>
      </c>
      <c r="C26" t="s">
        <v>27</v>
      </c>
      <c r="D26" t="s">
        <v>830</v>
      </c>
      <c r="E26" t="s">
        <v>845</v>
      </c>
      <c r="F26" t="s">
        <v>19</v>
      </c>
      <c r="G26" t="s">
        <v>846</v>
      </c>
      <c r="H26" t="s">
        <v>847</v>
      </c>
      <c r="I26" t="s">
        <v>848</v>
      </c>
      <c r="J26" t="s">
        <v>380</v>
      </c>
    </row>
    <row r="27" spans="1:10">
      <c r="A27" t="s">
        <v>849</v>
      </c>
      <c r="B27" t="s">
        <v>850</v>
      </c>
      <c r="C27" t="s">
        <v>53</v>
      </c>
      <c r="D27" t="s">
        <v>838</v>
      </c>
      <c r="E27" t="s">
        <v>851</v>
      </c>
      <c r="F27" t="s">
        <v>19</v>
      </c>
      <c r="G27" t="s">
        <v>852</v>
      </c>
      <c r="H27" t="s">
        <v>853</v>
      </c>
      <c r="I27" t="s">
        <v>854</v>
      </c>
      <c r="J27" t="s">
        <v>835</v>
      </c>
    </row>
    <row r="28" spans="1:10">
      <c r="A28" t="s">
        <v>855</v>
      </c>
      <c r="B28" t="s">
        <v>856</v>
      </c>
      <c r="C28" t="s">
        <v>53</v>
      </c>
      <c r="D28" t="s">
        <v>857</v>
      </c>
      <c r="E28" t="s">
        <v>858</v>
      </c>
      <c r="F28" t="s">
        <v>19</v>
      </c>
      <c r="G28" t="s">
        <v>859</v>
      </c>
      <c r="H28" t="s">
        <v>860</v>
      </c>
      <c r="I28" t="s">
        <v>861</v>
      </c>
      <c r="J28" t="s">
        <v>862</v>
      </c>
    </row>
    <row r="29" spans="1:10">
      <c r="A29" t="s">
        <v>863</v>
      </c>
      <c r="B29" t="s">
        <v>864</v>
      </c>
      <c r="C29" t="s">
        <v>47</v>
      </c>
      <c r="D29" t="s">
        <v>782</v>
      </c>
      <c r="E29" t="s">
        <v>865</v>
      </c>
      <c r="F29" t="s">
        <v>866</v>
      </c>
      <c r="G29" t="s">
        <v>867</v>
      </c>
      <c r="H29" t="s">
        <v>868</v>
      </c>
      <c r="I29" t="s">
        <v>869</v>
      </c>
      <c r="J29" t="s">
        <v>835</v>
      </c>
    </row>
    <row r="30" spans="1:10">
      <c r="A30" t="s">
        <v>870</v>
      </c>
      <c r="B30" t="s">
        <v>871</v>
      </c>
      <c r="C30" t="s">
        <v>53</v>
      </c>
      <c r="D30" t="s">
        <v>830</v>
      </c>
      <c r="E30" t="s">
        <v>872</v>
      </c>
      <c r="F30" t="s">
        <v>19</v>
      </c>
      <c r="G30" t="s">
        <v>873</v>
      </c>
      <c r="H30" t="s">
        <v>874</v>
      </c>
      <c r="I30" t="s">
        <v>875</v>
      </c>
      <c r="J30" t="s">
        <v>835</v>
      </c>
    </row>
    <row r="33" spans="1:9" ht="21">
      <c r="A33" s="111" t="s">
        <v>1050</v>
      </c>
      <c r="B33" s="112"/>
      <c r="C33" s="112"/>
      <c r="D33" s="112"/>
      <c r="E33" s="112"/>
      <c r="F33" s="112"/>
      <c r="G33" s="112"/>
      <c r="H33" s="112"/>
      <c r="I33" s="112"/>
    </row>
    <row r="35" spans="1:9" ht="15.75">
      <c r="A35" s="113" t="s">
        <v>1051</v>
      </c>
      <c r="B35" s="112"/>
      <c r="C35" s="112"/>
      <c r="D35" s="112"/>
      <c r="E35" s="112"/>
      <c r="F35" s="112"/>
      <c r="G35" s="112"/>
      <c r="H35" s="112"/>
      <c r="I35" s="112"/>
    </row>
    <row r="36" spans="1:9">
      <c r="A36" s="24" t="s">
        <v>1052</v>
      </c>
      <c r="B36" s="24" t="s">
        <v>1053</v>
      </c>
      <c r="C36" s="24" t="s">
        <v>1054</v>
      </c>
      <c r="D36" s="24" t="s">
        <v>1055</v>
      </c>
      <c r="E36" s="24" t="s">
        <v>1056</v>
      </c>
      <c r="F36" s="24" t="s">
        <v>1057</v>
      </c>
      <c r="G36" s="24" t="s">
        <v>1058</v>
      </c>
      <c r="H36" s="24" t="s">
        <v>1059</v>
      </c>
      <c r="I36" s="24" t="s">
        <v>1060</v>
      </c>
    </row>
    <row r="37" spans="1:9">
      <c r="A37" s="25" t="s">
        <v>1061</v>
      </c>
      <c r="B37" s="26">
        <v>285000</v>
      </c>
      <c r="C37" s="26">
        <v>119700</v>
      </c>
      <c r="D37" s="27">
        <f t="shared" ref="D37:F48" si="0">B37-C37</f>
        <v>165300</v>
      </c>
      <c r="E37" s="26">
        <v>95000</v>
      </c>
      <c r="F37" s="27">
        <f t="shared" si="0"/>
        <v>70300</v>
      </c>
      <c r="G37" s="26">
        <v>300000</v>
      </c>
      <c r="H37" s="28">
        <v>142</v>
      </c>
      <c r="I37" s="27">
        <f t="shared" ref="I37:I48" si="1">B37/H37</f>
        <v>2007.0422535211267</v>
      </c>
    </row>
    <row r="38" spans="1:9">
      <c r="A38" s="29" t="s">
        <v>1062</v>
      </c>
      <c r="B38" s="30">
        <v>310000</v>
      </c>
      <c r="C38" s="30">
        <v>127100</v>
      </c>
      <c r="D38" s="31">
        <f t="shared" si="0"/>
        <v>182900</v>
      </c>
      <c r="E38" s="30">
        <v>98000</v>
      </c>
      <c r="F38" s="31">
        <f t="shared" si="0"/>
        <v>84900</v>
      </c>
      <c r="G38" s="30">
        <v>320000</v>
      </c>
      <c r="H38" s="32">
        <v>155</v>
      </c>
      <c r="I38" s="31">
        <f t="shared" si="1"/>
        <v>2000</v>
      </c>
    </row>
    <row r="39" spans="1:9">
      <c r="A39" s="25" t="s">
        <v>1063</v>
      </c>
      <c r="B39" s="26">
        <v>340000</v>
      </c>
      <c r="C39" s="26">
        <v>136000</v>
      </c>
      <c r="D39" s="27">
        <f t="shared" si="0"/>
        <v>204000</v>
      </c>
      <c r="E39" s="26">
        <v>102000</v>
      </c>
      <c r="F39" s="27">
        <f t="shared" si="0"/>
        <v>102000</v>
      </c>
      <c r="G39" s="26">
        <v>340000</v>
      </c>
      <c r="H39" s="28">
        <v>170</v>
      </c>
      <c r="I39" s="27">
        <f t="shared" si="1"/>
        <v>2000</v>
      </c>
    </row>
    <row r="40" spans="1:9">
      <c r="A40" s="29" t="s">
        <v>1064</v>
      </c>
      <c r="B40" s="30">
        <v>325000</v>
      </c>
      <c r="C40" s="30">
        <v>136500</v>
      </c>
      <c r="D40" s="31">
        <f t="shared" si="0"/>
        <v>188500</v>
      </c>
      <c r="E40" s="30">
        <v>100000</v>
      </c>
      <c r="F40" s="31">
        <f t="shared" si="0"/>
        <v>88500</v>
      </c>
      <c r="G40" s="30">
        <v>360000</v>
      </c>
      <c r="H40" s="32">
        <v>163</v>
      </c>
      <c r="I40" s="31">
        <f t="shared" si="1"/>
        <v>1993.8650306748466</v>
      </c>
    </row>
    <row r="41" spans="1:9">
      <c r="A41" s="25" t="s">
        <v>1065</v>
      </c>
      <c r="B41" s="26">
        <v>365000</v>
      </c>
      <c r="C41" s="26">
        <v>146000</v>
      </c>
      <c r="D41" s="27">
        <f t="shared" si="0"/>
        <v>219000</v>
      </c>
      <c r="E41" s="26">
        <v>105000</v>
      </c>
      <c r="F41" s="27">
        <f t="shared" si="0"/>
        <v>114000</v>
      </c>
      <c r="G41" s="26">
        <v>380000</v>
      </c>
      <c r="H41" s="28">
        <v>182</v>
      </c>
      <c r="I41" s="27">
        <f t="shared" si="1"/>
        <v>2005.4945054945056</v>
      </c>
    </row>
    <row r="42" spans="1:9">
      <c r="A42" s="29" t="s">
        <v>1066</v>
      </c>
      <c r="B42" s="30">
        <v>390000</v>
      </c>
      <c r="C42" s="30">
        <v>152100</v>
      </c>
      <c r="D42" s="31">
        <f t="shared" si="0"/>
        <v>237900</v>
      </c>
      <c r="E42" s="30">
        <v>108000</v>
      </c>
      <c r="F42" s="31">
        <f t="shared" si="0"/>
        <v>129900</v>
      </c>
      <c r="G42" s="30">
        <v>400000</v>
      </c>
      <c r="H42" s="32">
        <v>195</v>
      </c>
      <c r="I42" s="31">
        <f t="shared" si="1"/>
        <v>2000</v>
      </c>
    </row>
    <row r="43" spans="1:9">
      <c r="A43" s="25" t="s">
        <v>1067</v>
      </c>
      <c r="B43" s="26">
        <v>375000</v>
      </c>
      <c r="C43" s="26">
        <v>153750</v>
      </c>
      <c r="D43" s="27">
        <f t="shared" si="0"/>
        <v>221250</v>
      </c>
      <c r="E43" s="26">
        <v>106000</v>
      </c>
      <c r="F43" s="27">
        <f t="shared" si="0"/>
        <v>115250</v>
      </c>
      <c r="G43" s="26">
        <v>400000</v>
      </c>
      <c r="H43" s="28">
        <v>188</v>
      </c>
      <c r="I43" s="27">
        <f t="shared" si="1"/>
        <v>1994.6808510638298</v>
      </c>
    </row>
    <row r="44" spans="1:9">
      <c r="A44" s="29" t="s">
        <v>1068</v>
      </c>
      <c r="B44" s="30">
        <v>410000</v>
      </c>
      <c r="C44" s="30">
        <v>159900</v>
      </c>
      <c r="D44" s="31">
        <f t="shared" si="0"/>
        <v>250100</v>
      </c>
      <c r="E44" s="30">
        <v>112000</v>
      </c>
      <c r="F44" s="31">
        <f t="shared" si="0"/>
        <v>138100</v>
      </c>
      <c r="G44" s="30">
        <v>420000</v>
      </c>
      <c r="H44" s="32">
        <v>205</v>
      </c>
      <c r="I44" s="31">
        <f t="shared" si="1"/>
        <v>2000</v>
      </c>
    </row>
    <row r="45" spans="1:9">
      <c r="A45" s="25" t="s">
        <v>1069</v>
      </c>
      <c r="B45" s="26">
        <v>425000</v>
      </c>
      <c r="C45" s="26">
        <v>161500</v>
      </c>
      <c r="D45" s="27">
        <f t="shared" si="0"/>
        <v>263500</v>
      </c>
      <c r="E45" s="26">
        <v>115000</v>
      </c>
      <c r="F45" s="27">
        <f t="shared" si="0"/>
        <v>148500</v>
      </c>
      <c r="G45" s="26">
        <v>440000</v>
      </c>
      <c r="H45" s="28">
        <v>213</v>
      </c>
      <c r="I45" s="27">
        <f t="shared" si="1"/>
        <v>1995.3051643192489</v>
      </c>
    </row>
    <row r="46" spans="1:9">
      <c r="A46" s="29" t="s">
        <v>1070</v>
      </c>
      <c r="B46" s="30">
        <v>450000</v>
      </c>
      <c r="C46" s="30">
        <v>171000</v>
      </c>
      <c r="D46" s="31">
        <f t="shared" si="0"/>
        <v>279000</v>
      </c>
      <c r="E46" s="30">
        <v>118000</v>
      </c>
      <c r="F46" s="31">
        <f t="shared" si="0"/>
        <v>161000</v>
      </c>
      <c r="G46" s="30">
        <v>460000</v>
      </c>
      <c r="H46" s="32">
        <v>225</v>
      </c>
      <c r="I46" s="31">
        <f t="shared" si="1"/>
        <v>2000</v>
      </c>
    </row>
    <row r="47" spans="1:9">
      <c r="A47" s="25" t="s">
        <v>1071</v>
      </c>
      <c r="B47" s="26">
        <v>470000</v>
      </c>
      <c r="C47" s="26">
        <v>173900</v>
      </c>
      <c r="D47" s="27">
        <f t="shared" si="0"/>
        <v>296100</v>
      </c>
      <c r="E47" s="26">
        <v>120000</v>
      </c>
      <c r="F47" s="27">
        <f t="shared" si="0"/>
        <v>176100</v>
      </c>
      <c r="G47" s="26">
        <v>480000</v>
      </c>
      <c r="H47" s="28">
        <v>235</v>
      </c>
      <c r="I47" s="27">
        <f t="shared" si="1"/>
        <v>2000</v>
      </c>
    </row>
    <row r="48" spans="1:9">
      <c r="A48" s="29" t="s">
        <v>1072</v>
      </c>
      <c r="B48" s="30">
        <v>520000</v>
      </c>
      <c r="C48" s="30">
        <v>187200</v>
      </c>
      <c r="D48" s="31">
        <f t="shared" si="0"/>
        <v>332800</v>
      </c>
      <c r="E48" s="30">
        <v>125000</v>
      </c>
      <c r="F48" s="31">
        <f t="shared" si="0"/>
        <v>207800</v>
      </c>
      <c r="G48" s="30">
        <v>500000</v>
      </c>
      <c r="H48" s="32">
        <v>260</v>
      </c>
      <c r="I48" s="31">
        <f t="shared" si="1"/>
        <v>2000</v>
      </c>
    </row>
    <row r="49" spans="1:9">
      <c r="A49" s="33" t="s">
        <v>1073</v>
      </c>
      <c r="B49" s="34">
        <f t="shared" ref="B49:H49" si="2">SUM(B37:B48)</f>
        <v>4665000</v>
      </c>
      <c r="C49" s="34">
        <f t="shared" si="2"/>
        <v>1824650</v>
      </c>
      <c r="D49" s="34">
        <f t="shared" si="2"/>
        <v>2840350</v>
      </c>
      <c r="E49" s="34">
        <f t="shared" si="2"/>
        <v>1304000</v>
      </c>
      <c r="F49" s="34">
        <f t="shared" si="2"/>
        <v>1536350</v>
      </c>
      <c r="G49" s="34">
        <f t="shared" si="2"/>
        <v>4800000</v>
      </c>
      <c r="H49" s="35">
        <f t="shared" si="2"/>
        <v>2333</v>
      </c>
      <c r="I49" s="34">
        <f>AVERAGE(I37:I48)</f>
        <v>1999.6989837561298</v>
      </c>
    </row>
    <row r="52" spans="1:9" ht="15.75">
      <c r="A52" s="113" t="s">
        <v>1074</v>
      </c>
      <c r="B52" s="112"/>
      <c r="C52" s="112"/>
    </row>
    <row r="53" spans="1:9">
      <c r="A53" s="24" t="s">
        <v>612</v>
      </c>
      <c r="B53" s="24" t="s">
        <v>1075</v>
      </c>
      <c r="C53" s="24" t="s">
        <v>1076</v>
      </c>
    </row>
    <row r="54" spans="1:9">
      <c r="A54" s="36" t="s">
        <v>1077</v>
      </c>
      <c r="B54" s="26">
        <v>720000</v>
      </c>
      <c r="C54" s="37" t="e">
        <f t="shared" ref="C54:C60" si="3">B54/SUM(B$23:B$29)</f>
        <v>#DIV/0!</v>
      </c>
    </row>
    <row r="55" spans="1:9">
      <c r="A55" s="36" t="s">
        <v>1078</v>
      </c>
      <c r="B55" s="26">
        <v>180000</v>
      </c>
      <c r="C55" s="37" t="e">
        <f t="shared" si="3"/>
        <v>#DIV/0!</v>
      </c>
    </row>
    <row r="56" spans="1:9">
      <c r="A56" s="36" t="s">
        <v>1079</v>
      </c>
      <c r="B56" s="26">
        <v>144000</v>
      </c>
      <c r="C56" s="37" t="e">
        <f t="shared" si="3"/>
        <v>#DIV/0!</v>
      </c>
    </row>
    <row r="57" spans="1:9">
      <c r="A57" s="36" t="s">
        <v>1080</v>
      </c>
      <c r="B57" s="26">
        <v>96000</v>
      </c>
      <c r="C57" s="37" t="e">
        <f t="shared" si="3"/>
        <v>#DIV/0!</v>
      </c>
    </row>
    <row r="58" spans="1:9">
      <c r="A58" s="36" t="s">
        <v>1081</v>
      </c>
      <c r="B58" s="26">
        <v>72000</v>
      </c>
      <c r="C58" s="37" t="e">
        <f t="shared" si="3"/>
        <v>#DIV/0!</v>
      </c>
    </row>
    <row r="59" spans="1:9">
      <c r="A59" s="36" t="s">
        <v>1082</v>
      </c>
      <c r="B59" s="26">
        <v>48000</v>
      </c>
      <c r="C59" s="37" t="e">
        <f t="shared" si="3"/>
        <v>#DIV/0!</v>
      </c>
    </row>
    <row r="60" spans="1:9">
      <c r="A60" s="36" t="s">
        <v>1083</v>
      </c>
      <c r="B60" s="26">
        <v>44000</v>
      </c>
      <c r="C60" s="37" t="e">
        <f t="shared" si="3"/>
        <v>#DIV/0!</v>
      </c>
    </row>
    <row r="63" spans="1:9" ht="15.75">
      <c r="A63" s="113" t="s">
        <v>1084</v>
      </c>
      <c r="B63" s="112"/>
      <c r="C63" s="112"/>
    </row>
    <row r="64" spans="1:9">
      <c r="A64" s="24" t="s">
        <v>1085</v>
      </c>
      <c r="B64" s="24" t="s">
        <v>1053</v>
      </c>
      <c r="C64" s="24" t="s">
        <v>1076</v>
      </c>
    </row>
    <row r="65" spans="1:3">
      <c r="A65" s="36" t="s">
        <v>1086</v>
      </c>
      <c r="B65" s="26">
        <v>2680000</v>
      </c>
      <c r="C65" s="37">
        <f t="shared" ref="C65:C68" si="4">B65/SUM(B$34:B$37)</f>
        <v>9.4035087719298254</v>
      </c>
    </row>
    <row r="66" spans="1:3">
      <c r="A66" s="36" t="s">
        <v>1087</v>
      </c>
      <c r="B66" s="26">
        <v>1180000</v>
      </c>
      <c r="C66" s="37">
        <f t="shared" si="4"/>
        <v>4.1403508771929829</v>
      </c>
    </row>
    <row r="67" spans="1:3">
      <c r="A67" s="36" t="s">
        <v>1088</v>
      </c>
      <c r="B67" s="26">
        <v>620000</v>
      </c>
      <c r="C67" s="37">
        <f t="shared" si="4"/>
        <v>2.1754385964912282</v>
      </c>
    </row>
    <row r="68" spans="1:3">
      <c r="A68" s="36" t="s">
        <v>1089</v>
      </c>
      <c r="B68" s="26">
        <v>185000</v>
      </c>
      <c r="C68" s="37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A4" sqref="A4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876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877</v>
      </c>
      <c r="B3" s="14" t="s">
        <v>878</v>
      </c>
      <c r="C3" s="14" t="s">
        <v>435</v>
      </c>
      <c r="D3" s="14" t="s">
        <v>436</v>
      </c>
      <c r="E3" s="14" t="s">
        <v>437</v>
      </c>
      <c r="F3" s="14" t="s">
        <v>879</v>
      </c>
      <c r="G3" s="14" t="s">
        <v>32</v>
      </c>
      <c r="H3" s="14" t="s">
        <v>8</v>
      </c>
    </row>
    <row r="4" spans="1:8" ht="64.5">
      <c r="A4" s="11" t="s">
        <v>880</v>
      </c>
      <c r="B4" s="19" t="s">
        <v>1048</v>
      </c>
      <c r="C4" s="11" t="s">
        <v>881</v>
      </c>
      <c r="D4" s="11" t="s">
        <v>882</v>
      </c>
      <c r="E4" s="11" t="s">
        <v>883</v>
      </c>
      <c r="F4" s="11" t="s">
        <v>884</v>
      </c>
      <c r="G4" s="11" t="s">
        <v>27</v>
      </c>
      <c r="H4" s="11" t="s">
        <v>19</v>
      </c>
    </row>
    <row r="5" spans="1:8" ht="64.5">
      <c r="A5" s="11" t="s">
        <v>885</v>
      </c>
      <c r="B5" s="11" t="s">
        <v>886</v>
      </c>
      <c r="C5" s="11" t="s">
        <v>887</v>
      </c>
      <c r="D5" s="11" t="s">
        <v>888</v>
      </c>
      <c r="E5" s="11" t="s">
        <v>889</v>
      </c>
      <c r="F5" s="11" t="s">
        <v>890</v>
      </c>
      <c r="G5" s="11" t="s">
        <v>369</v>
      </c>
      <c r="H5" s="11" t="s">
        <v>19</v>
      </c>
    </row>
    <row r="6" spans="1:8" ht="64.5">
      <c r="A6" s="11" t="s">
        <v>891</v>
      </c>
      <c r="B6" s="11" t="s">
        <v>892</v>
      </c>
      <c r="C6" s="11" t="s">
        <v>893</v>
      </c>
      <c r="D6" s="11" t="s">
        <v>894</v>
      </c>
      <c r="E6" s="11" t="s">
        <v>895</v>
      </c>
      <c r="F6" s="11" t="s">
        <v>896</v>
      </c>
      <c r="G6" s="11" t="s">
        <v>27</v>
      </c>
      <c r="H6" s="11" t="s">
        <v>19</v>
      </c>
    </row>
    <row r="7" spans="1:8" ht="64.5">
      <c r="A7" s="11" t="s">
        <v>897</v>
      </c>
      <c r="B7" s="11" t="s">
        <v>898</v>
      </c>
      <c r="C7" s="11" t="s">
        <v>899</v>
      </c>
      <c r="D7" s="11" t="s">
        <v>900</v>
      </c>
      <c r="E7" s="11" t="s">
        <v>901</v>
      </c>
      <c r="F7" s="11" t="s">
        <v>902</v>
      </c>
      <c r="G7" s="11" t="s">
        <v>72</v>
      </c>
      <c r="H7" s="11" t="s">
        <v>380</v>
      </c>
    </row>
    <row r="8" spans="1:8" ht="39">
      <c r="A8" s="11" t="s">
        <v>903</v>
      </c>
      <c r="B8" s="11" t="s">
        <v>904</v>
      </c>
      <c r="C8" s="11" t="s">
        <v>905</v>
      </c>
      <c r="D8" s="11" t="s">
        <v>906</v>
      </c>
      <c r="E8" s="11" t="s">
        <v>907</v>
      </c>
      <c r="F8" s="11" t="s">
        <v>481</v>
      </c>
      <c r="G8" s="11" t="s">
        <v>147</v>
      </c>
      <c r="H8" s="11" t="s">
        <v>380</v>
      </c>
    </row>
    <row r="9" spans="1:8" ht="51.75">
      <c r="A9" s="11" t="s">
        <v>908</v>
      </c>
      <c r="B9" s="11" t="s">
        <v>909</v>
      </c>
      <c r="C9" s="11" t="s">
        <v>910</v>
      </c>
      <c r="D9" s="11" t="s">
        <v>911</v>
      </c>
      <c r="E9" s="11" t="s">
        <v>912</v>
      </c>
      <c r="F9" s="11" t="s">
        <v>913</v>
      </c>
      <c r="G9" s="11" t="s">
        <v>110</v>
      </c>
      <c r="H9" s="11" t="s">
        <v>51</v>
      </c>
    </row>
    <row r="10" spans="1:8" ht="64.5">
      <c r="A10" s="11" t="s">
        <v>914</v>
      </c>
      <c r="B10" s="11" t="s">
        <v>915</v>
      </c>
      <c r="C10" s="11" t="s">
        <v>916</v>
      </c>
      <c r="D10" s="11" t="s">
        <v>917</v>
      </c>
      <c r="E10" s="11" t="s">
        <v>918</v>
      </c>
      <c r="F10" s="11" t="s">
        <v>919</v>
      </c>
      <c r="G10" s="11" t="s">
        <v>27</v>
      </c>
      <c r="H10" s="11" t="s">
        <v>51</v>
      </c>
    </row>
    <row r="11" spans="1:8" ht="51.75">
      <c r="A11" s="11" t="s">
        <v>920</v>
      </c>
      <c r="B11" s="11" t="s">
        <v>921</v>
      </c>
      <c r="C11" s="11" t="s">
        <v>922</v>
      </c>
      <c r="D11" s="11" t="s">
        <v>923</v>
      </c>
      <c r="E11" s="11" t="s">
        <v>924</v>
      </c>
      <c r="F11" s="11" t="s">
        <v>925</v>
      </c>
      <c r="G11" s="11" t="s">
        <v>47</v>
      </c>
      <c r="H11" s="11" t="s">
        <v>19</v>
      </c>
    </row>
    <row r="12" spans="1:8" ht="51.75">
      <c r="A12" s="11" t="s">
        <v>926</v>
      </c>
      <c r="B12" s="11" t="s">
        <v>927</v>
      </c>
      <c r="C12" s="11" t="s">
        <v>928</v>
      </c>
      <c r="D12" s="11" t="s">
        <v>929</v>
      </c>
      <c r="E12" s="11" t="s">
        <v>930</v>
      </c>
      <c r="F12" s="11" t="s">
        <v>931</v>
      </c>
      <c r="G12" s="11" t="s">
        <v>70</v>
      </c>
      <c r="H12" s="11" t="s">
        <v>19</v>
      </c>
    </row>
    <row r="13" spans="1:8" ht="64.5">
      <c r="A13" s="11" t="s">
        <v>932</v>
      </c>
      <c r="B13" s="11" t="s">
        <v>933</v>
      </c>
      <c r="C13" s="11" t="s">
        <v>934</v>
      </c>
      <c r="D13" s="11" t="s">
        <v>935</v>
      </c>
      <c r="E13" s="11" t="s">
        <v>936</v>
      </c>
      <c r="F13" s="11" t="s">
        <v>937</v>
      </c>
      <c r="G13" s="11" t="s">
        <v>938</v>
      </c>
      <c r="H13" s="11" t="s">
        <v>19</v>
      </c>
    </row>
    <row r="14" spans="1:8" ht="51.75">
      <c r="A14" s="11" t="s">
        <v>939</v>
      </c>
      <c r="B14" s="11" t="s">
        <v>940</v>
      </c>
      <c r="C14" s="11" t="s">
        <v>941</v>
      </c>
      <c r="D14" s="11" t="s">
        <v>942</v>
      </c>
      <c r="E14" s="11" t="s">
        <v>943</v>
      </c>
      <c r="F14" s="11" t="s">
        <v>763</v>
      </c>
      <c r="G14" s="11" t="s">
        <v>70</v>
      </c>
      <c r="H14" s="11" t="s">
        <v>19</v>
      </c>
    </row>
    <row r="15" spans="1:8" ht="39">
      <c r="A15" s="11" t="s">
        <v>944</v>
      </c>
      <c r="B15" s="11" t="s">
        <v>945</v>
      </c>
      <c r="C15" s="11" t="s">
        <v>946</v>
      </c>
      <c r="D15" s="11" t="s">
        <v>947</v>
      </c>
      <c r="E15" s="11" t="s">
        <v>948</v>
      </c>
      <c r="F15" s="11" t="s">
        <v>949</v>
      </c>
      <c r="G15" s="11" t="s">
        <v>53</v>
      </c>
      <c r="H15" s="11" t="s">
        <v>19</v>
      </c>
    </row>
    <row r="16" spans="1:8" ht="39">
      <c r="A16" s="11" t="s">
        <v>950</v>
      </c>
      <c r="B16" s="11" t="s">
        <v>951</v>
      </c>
      <c r="C16" s="11" t="s">
        <v>952</v>
      </c>
      <c r="D16" s="11" t="s">
        <v>953</v>
      </c>
      <c r="E16" s="11" t="s">
        <v>954</v>
      </c>
      <c r="F16" s="11" t="s">
        <v>457</v>
      </c>
      <c r="G16" s="11" t="s">
        <v>53</v>
      </c>
      <c r="H16" s="11" t="s">
        <v>19</v>
      </c>
    </row>
    <row r="17" spans="1:8" ht="39">
      <c r="A17" s="11" t="s">
        <v>955</v>
      </c>
      <c r="B17" s="11" t="s">
        <v>956</v>
      </c>
      <c r="C17" s="11" t="s">
        <v>957</v>
      </c>
      <c r="D17" s="11" t="s">
        <v>958</v>
      </c>
      <c r="E17" s="11" t="s">
        <v>959</v>
      </c>
      <c r="F17" s="11" t="s">
        <v>960</v>
      </c>
      <c r="G17" s="11" t="s">
        <v>124</v>
      </c>
      <c r="H17" s="11" t="s">
        <v>19</v>
      </c>
    </row>
    <row r="18" spans="1:8" ht="39">
      <c r="A18" s="11" t="s">
        <v>961</v>
      </c>
      <c r="B18" s="11" t="s">
        <v>962</v>
      </c>
      <c r="C18" s="11" t="s">
        <v>963</v>
      </c>
      <c r="D18" s="11" t="s">
        <v>964</v>
      </c>
      <c r="E18" s="11" t="s">
        <v>965</v>
      </c>
      <c r="F18" s="11" t="s">
        <v>763</v>
      </c>
      <c r="G18" s="11" t="s">
        <v>27</v>
      </c>
      <c r="H18" s="11" t="s">
        <v>19</v>
      </c>
    </row>
    <row r="19" spans="1:8" ht="51.75">
      <c r="A19" s="11" t="s">
        <v>966</v>
      </c>
      <c r="B19" s="11" t="s">
        <v>967</v>
      </c>
      <c r="C19" s="11" t="s">
        <v>968</v>
      </c>
      <c r="D19" s="11" t="s">
        <v>969</v>
      </c>
      <c r="E19" s="11" t="s">
        <v>970</v>
      </c>
      <c r="F19" s="11" t="s">
        <v>764</v>
      </c>
      <c r="G19" s="11" t="s">
        <v>47</v>
      </c>
      <c r="H19" s="11" t="s">
        <v>866</v>
      </c>
    </row>
    <row r="20" spans="1:8" ht="39">
      <c r="A20" s="11" t="s">
        <v>971</v>
      </c>
      <c r="B20" s="11" t="s">
        <v>972</v>
      </c>
      <c r="C20" s="11" t="s">
        <v>973</v>
      </c>
      <c r="D20" s="11" t="s">
        <v>974</v>
      </c>
      <c r="E20" s="11" t="s">
        <v>975</v>
      </c>
      <c r="F20" s="11" t="s">
        <v>976</v>
      </c>
      <c r="G20" s="11" t="s">
        <v>53</v>
      </c>
      <c r="H20" s="11" t="s">
        <v>19</v>
      </c>
    </row>
    <row r="21" spans="1:8" ht="64.5">
      <c r="A21" s="11" t="s">
        <v>977</v>
      </c>
      <c r="B21" s="11" t="s">
        <v>978</v>
      </c>
      <c r="C21" s="11" t="s">
        <v>979</v>
      </c>
      <c r="D21" s="11" t="s">
        <v>980</v>
      </c>
      <c r="E21" s="11" t="s">
        <v>981</v>
      </c>
      <c r="F21" s="11" t="s">
        <v>982</v>
      </c>
      <c r="G21" s="11" t="s">
        <v>53</v>
      </c>
      <c r="H21" s="11" t="s">
        <v>19</v>
      </c>
    </row>
    <row r="22" spans="1:8" ht="39">
      <c r="A22" s="11" t="s">
        <v>983</v>
      </c>
      <c r="B22" s="11" t="s">
        <v>984</v>
      </c>
      <c r="C22" s="11" t="s">
        <v>985</v>
      </c>
      <c r="D22" s="11" t="s">
        <v>986</v>
      </c>
      <c r="E22" s="11" t="s">
        <v>987</v>
      </c>
      <c r="F22" s="11" t="s">
        <v>988</v>
      </c>
      <c r="G22" s="11" t="s">
        <v>37</v>
      </c>
      <c r="H22" s="11" t="s">
        <v>51</v>
      </c>
    </row>
    <row r="23" spans="1:8" ht="39">
      <c r="A23" s="11" t="s">
        <v>983</v>
      </c>
      <c r="B23" s="11" t="s">
        <v>989</v>
      </c>
      <c r="C23" s="11" t="s">
        <v>990</v>
      </c>
      <c r="D23" s="11" t="s">
        <v>991</v>
      </c>
      <c r="E23" s="11" t="s">
        <v>992</v>
      </c>
      <c r="F23" s="11" t="s">
        <v>993</v>
      </c>
      <c r="G23" s="11" t="s">
        <v>55</v>
      </c>
      <c r="H23" s="11" t="s">
        <v>51</v>
      </c>
    </row>
    <row r="24" spans="1:8" ht="51.75">
      <c r="A24" s="11" t="s">
        <v>983</v>
      </c>
      <c r="B24" s="11" t="s">
        <v>994</v>
      </c>
      <c r="C24" s="11" t="s">
        <v>995</v>
      </c>
      <c r="D24" s="11" t="s">
        <v>996</v>
      </c>
      <c r="E24" s="11" t="s">
        <v>997</v>
      </c>
      <c r="F24" s="11" t="s">
        <v>998</v>
      </c>
      <c r="G24" s="11" t="s">
        <v>56</v>
      </c>
      <c r="H24" s="11" t="s">
        <v>51</v>
      </c>
    </row>
    <row r="25" spans="1:8" ht="51.75">
      <c r="A25" s="11" t="s">
        <v>983</v>
      </c>
      <c r="B25" s="11" t="s">
        <v>999</v>
      </c>
      <c r="C25" s="11" t="s">
        <v>1000</v>
      </c>
      <c r="D25" s="11" t="s">
        <v>1001</v>
      </c>
      <c r="E25" s="11" t="s">
        <v>1002</v>
      </c>
      <c r="F25" s="11" t="s">
        <v>457</v>
      </c>
      <c r="G25" s="11" t="s">
        <v>39</v>
      </c>
      <c r="H25" s="11" t="s">
        <v>51</v>
      </c>
    </row>
    <row r="26" spans="1:8" ht="39">
      <c r="A26" s="11" t="s">
        <v>1003</v>
      </c>
      <c r="B26" s="11" t="s">
        <v>1004</v>
      </c>
      <c r="C26" s="11" t="s">
        <v>1005</v>
      </c>
      <c r="D26" s="11" t="s">
        <v>1006</v>
      </c>
      <c r="E26" s="11" t="s">
        <v>1007</v>
      </c>
      <c r="F26" s="11" t="s">
        <v>1008</v>
      </c>
      <c r="G26" s="11" t="s">
        <v>70</v>
      </c>
      <c r="H26" s="11" t="s">
        <v>19</v>
      </c>
    </row>
    <row r="27" spans="1:8" ht="39">
      <c r="A27" s="11" t="s">
        <v>1003</v>
      </c>
      <c r="B27" s="11" t="s">
        <v>1009</v>
      </c>
      <c r="C27" s="11" t="s">
        <v>1010</v>
      </c>
      <c r="D27" s="11" t="s">
        <v>1011</v>
      </c>
      <c r="E27" s="11" t="s">
        <v>1012</v>
      </c>
      <c r="F27" s="11" t="s">
        <v>1013</v>
      </c>
      <c r="G27" s="11" t="s">
        <v>70</v>
      </c>
      <c r="H27" s="11" t="s">
        <v>25</v>
      </c>
    </row>
    <row r="28" spans="1:8" ht="51.75">
      <c r="A28" s="11" t="s">
        <v>1014</v>
      </c>
      <c r="B28" s="11" t="s">
        <v>1015</v>
      </c>
      <c r="C28" s="11" t="s">
        <v>1016</v>
      </c>
      <c r="D28" s="11" t="s">
        <v>1017</v>
      </c>
      <c r="E28" s="11" t="s">
        <v>1018</v>
      </c>
      <c r="F28" s="11" t="s">
        <v>1019</v>
      </c>
      <c r="G28" s="11" t="s">
        <v>7</v>
      </c>
      <c r="H28" s="11" t="s">
        <v>19</v>
      </c>
    </row>
    <row r="29" spans="1:8" ht="51.75">
      <c r="A29" s="11" t="s">
        <v>1020</v>
      </c>
      <c r="B29" s="11" t="s">
        <v>1021</v>
      </c>
      <c r="C29" s="11" t="s">
        <v>1022</v>
      </c>
      <c r="D29" s="11" t="s">
        <v>1023</v>
      </c>
      <c r="E29" s="11" t="s">
        <v>1024</v>
      </c>
      <c r="F29" s="11" t="s">
        <v>1025</v>
      </c>
      <c r="G29" s="11" t="s">
        <v>27</v>
      </c>
      <c r="H29" s="11" t="s">
        <v>69</v>
      </c>
    </row>
    <row r="30" spans="1:8" ht="77.25">
      <c r="A30" s="11" t="s">
        <v>1026</v>
      </c>
      <c r="B30" s="11" t="s">
        <v>1027</v>
      </c>
      <c r="C30" s="11" t="s">
        <v>1028</v>
      </c>
      <c r="D30" s="11" t="s">
        <v>1029</v>
      </c>
      <c r="E30" s="11" t="s">
        <v>1030</v>
      </c>
      <c r="F30" s="11" t="s">
        <v>1031</v>
      </c>
      <c r="G30" s="11" t="s">
        <v>53</v>
      </c>
      <c r="H30" s="11" t="s">
        <v>1032</v>
      </c>
    </row>
    <row r="31" spans="1:8" ht="39">
      <c r="A31" s="11" t="s">
        <v>1033</v>
      </c>
      <c r="B31" s="11" t="s">
        <v>1034</v>
      </c>
      <c r="C31" s="11" t="s">
        <v>1035</v>
      </c>
      <c r="D31" s="11" t="s">
        <v>1036</v>
      </c>
      <c r="E31" s="11" t="s">
        <v>1037</v>
      </c>
      <c r="F31" s="11" t="s">
        <v>1038</v>
      </c>
      <c r="G31" s="11" t="s">
        <v>27</v>
      </c>
      <c r="H31" s="11" t="s">
        <v>25</v>
      </c>
    </row>
    <row r="32" spans="1:8" ht="39">
      <c r="A32" s="11" t="s">
        <v>1039</v>
      </c>
      <c r="B32" s="11" t="s">
        <v>1044</v>
      </c>
      <c r="C32" s="11" t="s">
        <v>1040</v>
      </c>
      <c r="D32" s="11" t="s">
        <v>1041</v>
      </c>
      <c r="E32" s="11" t="s">
        <v>1042</v>
      </c>
      <c r="F32" s="11" t="s">
        <v>1043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Cost Benefit Analysis</vt:lpstr>
      <vt:lpstr>Dashboard</vt:lpstr>
      <vt:lpstr>Executive Report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2026-06-10T19:34:19Z</dcterms:modified>
</cp:coreProperties>
</file>